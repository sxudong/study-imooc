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首选项" sheetId="1" r:id="rId1"/>
    <sheet name="Payroll" sheetId="3" r:id="rId2"/>
    <sheet name="数据库" sheetId="2" r:id="rId3"/>
  </sheets>
  <functionGroups builtInGroupCount="18"/>
  <calcPr calcId="152511"/>
</workbook>
</file>

<file path=xl/calcChain.xml><?xml version="1.0" encoding="utf-8"?>
<calcChain xmlns="http://schemas.openxmlformats.org/spreadsheetml/2006/main">
  <c r="C3" i="1" l="1"/>
  <c r="G1" i="3"/>
  <c r="C6" i="3" l="1"/>
  <c r="C7" i="3"/>
  <c r="C8" i="3"/>
  <c r="C9" i="3"/>
  <c r="C10" i="3"/>
  <c r="C11" i="3"/>
  <c r="C12" i="3"/>
  <c r="C13" i="3"/>
  <c r="C14" i="3"/>
  <c r="C15" i="3"/>
  <c r="C16" i="3"/>
  <c r="C5" i="3"/>
  <c r="C2" i="3" l="1"/>
  <c r="G4" i="2" l="1"/>
  <c r="E4" i="2"/>
  <c r="E3" i="2"/>
  <c r="G3" i="2"/>
  <c r="G2" i="2"/>
  <c r="G6" i="2"/>
  <c r="G7" i="2"/>
  <c r="G8" i="2"/>
  <c r="G9" i="2"/>
  <c r="G10" i="2"/>
  <c r="G11" i="2"/>
  <c r="G12" i="2"/>
  <c r="G13" i="2"/>
  <c r="G5" i="2"/>
  <c r="F4" i="2"/>
  <c r="F3" i="2"/>
  <c r="F2" i="2"/>
  <c r="F6" i="2"/>
  <c r="F7" i="2"/>
  <c r="F8" i="2"/>
  <c r="F9" i="2"/>
  <c r="F10" i="2"/>
  <c r="F11" i="2"/>
  <c r="F12" i="2"/>
  <c r="F13" i="2"/>
  <c r="F5" i="2"/>
  <c r="E2" i="2"/>
  <c r="E6" i="2"/>
  <c r="E7" i="2"/>
  <c r="E8" i="2"/>
  <c r="E9" i="2"/>
  <c r="E10" i="2"/>
  <c r="E11" i="2"/>
  <c r="E12" i="2"/>
  <c r="E13" i="2"/>
  <c r="E5" i="2"/>
  <c r="D3" i="2"/>
  <c r="D4" i="2"/>
  <c r="D2" i="2"/>
  <c r="H2" i="2" l="1"/>
  <c r="F3" i="1" s="1"/>
  <c r="H13" i="2"/>
  <c r="F14" i="1" s="1"/>
  <c r="H8" i="2"/>
  <c r="F9" i="1" s="1"/>
  <c r="H12" i="2"/>
  <c r="F13" i="1" s="1"/>
  <c r="H4" i="2"/>
  <c r="F5" i="1" s="1"/>
  <c r="H6" i="2"/>
  <c r="F7" i="1" s="1"/>
  <c r="H10" i="2"/>
  <c r="F11" i="1" s="1"/>
  <c r="H5" i="2"/>
  <c r="F6" i="1" s="1"/>
  <c r="H9" i="2"/>
  <c r="F10" i="1" s="1"/>
  <c r="H3" i="2"/>
  <c r="F4" i="1" s="1"/>
  <c r="H7" i="2"/>
  <c r="F8" i="1" s="1"/>
  <c r="H11" i="2"/>
  <c r="F12" i="1" s="1"/>
</calcChain>
</file>

<file path=xl/sharedStrings.xml><?xml version="1.0" encoding="utf-8"?>
<sst xmlns="http://schemas.openxmlformats.org/spreadsheetml/2006/main" count="212" uniqueCount="107">
  <si>
    <t>国家列表</t>
  </si>
  <si>
    <t>0016</t>
  </si>
  <si>
    <t>0215</t>
  </si>
  <si>
    <t>国家</t>
  </si>
  <si>
    <t>系统</t>
  </si>
  <si>
    <t>MFG</t>
  </si>
  <si>
    <t>SAP</t>
  </si>
  <si>
    <t>当前文件夹</t>
  </si>
  <si>
    <t>二级文件夹</t>
  </si>
  <si>
    <t>三级文件夹</t>
  </si>
  <si>
    <t xml:space="preserve"> </t>
  </si>
  <si>
    <t>期间格式</t>
  </si>
  <si>
    <t>月份1</t>
  </si>
  <si>
    <t>月份2</t>
  </si>
  <si>
    <t>月份3</t>
  </si>
  <si>
    <t>月份4</t>
  </si>
  <si>
    <t>月份5</t>
  </si>
  <si>
    <t>月份6</t>
  </si>
  <si>
    <t>Jan</t>
  </si>
  <si>
    <t>Oct</t>
  </si>
  <si>
    <t>01</t>
  </si>
  <si>
    <t>January</t>
  </si>
  <si>
    <t>Feb</t>
  </si>
  <si>
    <t>Nov</t>
  </si>
  <si>
    <t>02</t>
  </si>
  <si>
    <t>February</t>
  </si>
  <si>
    <t>Mar</t>
  </si>
  <si>
    <t>Dec</t>
  </si>
  <si>
    <t>03</t>
  </si>
  <si>
    <t>March</t>
  </si>
  <si>
    <t>Apr</t>
  </si>
  <si>
    <t>04</t>
  </si>
  <si>
    <t>April</t>
  </si>
  <si>
    <t>May</t>
  </si>
  <si>
    <t>05</t>
  </si>
  <si>
    <t>Jun</t>
  </si>
  <si>
    <t>06</t>
  </si>
  <si>
    <t>June</t>
  </si>
  <si>
    <t>Jul</t>
  </si>
  <si>
    <t>07</t>
  </si>
  <si>
    <t>July</t>
  </si>
  <si>
    <t>Aug</t>
  </si>
  <si>
    <t>08</t>
  </si>
  <si>
    <t>August</t>
  </si>
  <si>
    <t>Sep</t>
  </si>
  <si>
    <t>09</t>
  </si>
  <si>
    <t>September</t>
  </si>
  <si>
    <t>10</t>
  </si>
  <si>
    <t>October</t>
  </si>
  <si>
    <t>11</t>
  </si>
  <si>
    <t>November</t>
  </si>
  <si>
    <t>12</t>
  </si>
  <si>
    <t>December</t>
  </si>
  <si>
    <t>月份7</t>
  </si>
  <si>
    <t>期间</t>
  </si>
  <si>
    <t>FY</t>
  </si>
  <si>
    <t>当前选择</t>
  </si>
  <si>
    <t>20</t>
  </si>
  <si>
    <t>前置文件夹</t>
  </si>
  <si>
    <t>中间文件夹</t>
  </si>
  <si>
    <t>后置文件夹</t>
  </si>
  <si>
    <t>C:\Users\mhuang3\OneDrive - Rockwell Automation, Inc\Monthly Accrual\</t>
  </si>
  <si>
    <t>路径不存在</t>
  </si>
  <si>
    <t>OK</t>
  </si>
  <si>
    <t>关键字检测</t>
  </si>
  <si>
    <t>Payroll</t>
  </si>
  <si>
    <t>Period-1</t>
  </si>
  <si>
    <t>Period-2</t>
  </si>
  <si>
    <t>Period-3</t>
  </si>
  <si>
    <t>Period-4</t>
  </si>
  <si>
    <t>Period-5</t>
  </si>
  <si>
    <t>Period-6</t>
  </si>
  <si>
    <t>Period-7</t>
  </si>
  <si>
    <t>Period-8</t>
  </si>
  <si>
    <t>Period-9</t>
  </si>
  <si>
    <t>Period-10</t>
  </si>
  <si>
    <t>Period-11</t>
  </si>
  <si>
    <t>Period-12</t>
  </si>
  <si>
    <t>路径</t>
  </si>
  <si>
    <t>检测状态</t>
  </si>
  <si>
    <t>开启状态</t>
  </si>
  <si>
    <t>开启</t>
  </si>
  <si>
    <t>不可用</t>
  </si>
  <si>
    <t>FYYMM</t>
  </si>
  <si>
    <t>FYYYY-MMM</t>
  </si>
  <si>
    <t>FYYYY MMM</t>
  </si>
  <si>
    <t>检测后默认开启</t>
  </si>
  <si>
    <t>是</t>
  </si>
  <si>
    <t>1_0215 Payroll_Oct FY2001_5000307【OK】【提】.xls</t>
  </si>
  <si>
    <t>1_0215 Payroll_Nov FY2002_5000797【OK】【提】.xls</t>
  </si>
  <si>
    <t>没有找到含有字段 [Payroll] 的文件。</t>
  </si>
  <si>
    <t>操作</t>
  </si>
  <si>
    <t>获取维度</t>
  </si>
  <si>
    <t>GL Account</t>
  </si>
  <si>
    <t>Text</t>
  </si>
  <si>
    <t>开始行</t>
  </si>
  <si>
    <t>CC列</t>
  </si>
  <si>
    <t>GL列</t>
  </si>
  <si>
    <t>D</t>
  </si>
  <si>
    <t>B</t>
  </si>
  <si>
    <t>Text列</t>
  </si>
  <si>
    <t>G</t>
  </si>
  <si>
    <t>1_0215 Payroll_Dec FY2003_5001296【OK】【提】.xls</t>
  </si>
  <si>
    <t>Sheet</t>
  </si>
  <si>
    <t>JE</t>
  </si>
  <si>
    <t>清除数据</t>
  </si>
  <si>
    <t>1_0215 Payroll_Jan FY2004_【】【】.xls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</si>
</sst>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000000"/>
      <name val="Calibri"/>
      <family val="2"/>
    </font>
    <font>
      <b/>
      <sz val="9"/>
      <color rgb="FF000000"/>
      <name val="Calibri"/>
      <family val="2"/>
    </font>
    <font>
      <sz val="10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4" borderId="0" xfId="0" applyFill="1"/>
    <xf numFmtId="0" fontId="0" fillId="0" borderId="1" xfId="0" applyFill="1" applyBorder="1" applyAlignment="1">
      <alignment horizontal="center" vertical="center"/>
    </xf>
    <xf numFmtId="0" fontId="0" fillId="0" borderId="0" xfId="0" applyFill="1"/>
    <xf numFmtId="0" fontId="0" fillId="6" borderId="0" xfId="0" applyFill="1"/>
    <xf numFmtId="0" fontId="1" fillId="2" borderId="1" xfId="0" quotePrefix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4" fillId="6" borderId="0" xfId="0" applyFont="1" applyFill="1"/>
    <xf numFmtId="0" fontId="4" fillId="0" borderId="0" xfId="0" applyFont="1"/>
  </cellXfs>
  <cellStyles count="1"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21</xdr:row>
          <xdr:rowOff>85725</xdr:rowOff>
        </xdr:from>
        <xdr:to>
          <xdr:col>2</xdr:col>
          <xdr:colOff>781050</xdr:colOff>
          <xdr:row>25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检测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16</xdr:row>
          <xdr:rowOff>123825</xdr:rowOff>
        </xdr:from>
        <xdr:to>
          <xdr:col>2</xdr:col>
          <xdr:colOff>781050</xdr:colOff>
          <xdr:row>18</xdr:row>
          <xdr:rowOff>95250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清除检测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19</xdr:row>
          <xdr:rowOff>9525</xdr:rowOff>
        </xdr:from>
        <xdr:to>
          <xdr:col>2</xdr:col>
          <xdr:colOff>790575</xdr:colOff>
          <xdr:row>20</xdr:row>
          <xdr:rowOff>161925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清除预设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9525</xdr:rowOff>
        </xdr:from>
        <xdr:to>
          <xdr:col>9</xdr:col>
          <xdr:colOff>9525</xdr:colOff>
          <xdr:row>2</xdr:row>
          <xdr:rowOff>180975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开启/关闭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</xdr:row>
          <xdr:rowOff>0</xdr:rowOff>
        </xdr:from>
        <xdr:to>
          <xdr:col>9</xdr:col>
          <xdr:colOff>9525</xdr:colOff>
          <xdr:row>3</xdr:row>
          <xdr:rowOff>180975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开启/关闭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9525</xdr:rowOff>
        </xdr:from>
        <xdr:to>
          <xdr:col>9</xdr:col>
          <xdr:colOff>9525</xdr:colOff>
          <xdr:row>4</xdr:row>
          <xdr:rowOff>180975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开启/关闭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9525</xdr:rowOff>
        </xdr:from>
        <xdr:to>
          <xdr:col>9</xdr:col>
          <xdr:colOff>9525</xdr:colOff>
          <xdr:row>5</xdr:row>
          <xdr:rowOff>180975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开启/关闭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6</xdr:row>
          <xdr:rowOff>9525</xdr:rowOff>
        </xdr:from>
        <xdr:to>
          <xdr:col>9</xdr:col>
          <xdr:colOff>9525</xdr:colOff>
          <xdr:row>6</xdr:row>
          <xdr:rowOff>180975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开启/关闭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7</xdr:row>
          <xdr:rowOff>9525</xdr:rowOff>
        </xdr:from>
        <xdr:to>
          <xdr:col>9</xdr:col>
          <xdr:colOff>9525</xdr:colOff>
          <xdr:row>8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开启/关闭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9525</xdr:colOff>
          <xdr:row>9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开启/关闭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9</xdr:row>
          <xdr:rowOff>9525</xdr:rowOff>
        </xdr:from>
        <xdr:to>
          <xdr:col>9</xdr:col>
          <xdr:colOff>9525</xdr:colOff>
          <xdr:row>9</xdr:row>
          <xdr:rowOff>180975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开启/关闭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10</xdr:row>
          <xdr:rowOff>9525</xdr:rowOff>
        </xdr:from>
        <xdr:to>
          <xdr:col>9</xdr:col>
          <xdr:colOff>9525</xdr:colOff>
          <xdr:row>10</xdr:row>
          <xdr:rowOff>180975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开启/关闭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11</xdr:row>
          <xdr:rowOff>9525</xdr:rowOff>
        </xdr:from>
        <xdr:to>
          <xdr:col>9</xdr:col>
          <xdr:colOff>9525</xdr:colOff>
          <xdr:row>11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开启/关闭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12</xdr:row>
          <xdr:rowOff>9525</xdr:rowOff>
        </xdr:from>
        <xdr:to>
          <xdr:col>9</xdr:col>
          <xdr:colOff>9525</xdr:colOff>
          <xdr:row>12</xdr:row>
          <xdr:rowOff>180975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开启/关闭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13</xdr:row>
          <xdr:rowOff>9525</xdr:rowOff>
        </xdr:from>
        <xdr:to>
          <xdr:col>9</xdr:col>
          <xdr:colOff>9525</xdr:colOff>
          <xdr:row>13</xdr:row>
          <xdr:rowOff>180975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开启/关闭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16</xdr:row>
          <xdr:rowOff>114300</xdr:rowOff>
        </xdr:from>
        <xdr:to>
          <xdr:col>6</xdr:col>
          <xdr:colOff>447675</xdr:colOff>
          <xdr:row>20</xdr:row>
          <xdr:rowOff>161925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开启所有可用期间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21</xdr:row>
          <xdr:rowOff>85725</xdr:rowOff>
        </xdr:from>
        <xdr:to>
          <xdr:col>6</xdr:col>
          <xdr:colOff>466725</xdr:colOff>
          <xdr:row>25</xdr:row>
          <xdr:rowOff>152400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关闭所有可用期间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190500</xdr:rowOff>
        </xdr:from>
        <xdr:to>
          <xdr:col>3</xdr:col>
          <xdr:colOff>2286000</xdr:colOff>
          <xdr:row>3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返回首选项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114300</xdr:rowOff>
        </xdr:from>
        <xdr:to>
          <xdr:col>3</xdr:col>
          <xdr:colOff>2266950</xdr:colOff>
          <xdr:row>19</xdr:row>
          <xdr:rowOff>76199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获得文件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20</xdr:row>
          <xdr:rowOff>19050</xdr:rowOff>
        </xdr:from>
        <xdr:to>
          <xdr:col>3</xdr:col>
          <xdr:colOff>2219325</xdr:colOff>
          <xdr:row>23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获得数据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L26"/>
  <sheetViews>
    <sheetView showGridLines="0" topLeftCell="B1" zoomScaleNormal="100" workbookViewId="0">
      <selection activeCell="C30" sqref="C30"/>
    </sheetView>
  </sheetViews>
  <sheetFormatPr defaultRowHeight="15" x14ac:dyDescent="0.25"/>
  <cols>
    <col min="1" max="1" width="5.5703125" customWidth="1"/>
    <col min="2" max="3" width="14" customWidth="1"/>
    <col min="4" max="4" width="11.42578125" customWidth="1"/>
    <col min="5" max="9" width="13.7109375" customWidth="1"/>
    <col min="11" max="11" width="17.42578125" customWidth="1"/>
    <col min="12" max="12" width="13.140625" customWidth="1"/>
  </cols>
  <sheetData>
    <row r="2" spans="2:12" x14ac:dyDescent="0.25">
      <c r="B2" s="1" t="s">
        <v>3</v>
      </c>
      <c r="C2" s="4" t="s">
        <v>2</v>
      </c>
      <c r="E2" s="6" t="s">
        <v>54</v>
      </c>
      <c r="F2" s="6" t="s">
        <v>78</v>
      </c>
      <c r="G2" s="6" t="s">
        <v>79</v>
      </c>
      <c r="H2" s="6" t="s">
        <v>80</v>
      </c>
      <c r="I2" s="6" t="s">
        <v>91</v>
      </c>
      <c r="K2" s="1" t="s">
        <v>86</v>
      </c>
      <c r="L2" s="4" t="s">
        <v>87</v>
      </c>
    </row>
    <row r="3" spans="2:12" x14ac:dyDescent="0.25">
      <c r="B3" s="1" t="s">
        <v>4</v>
      </c>
      <c r="C3" s="5" t="str">
        <f>IFERROR(VLOOKUP(C2,数据库!A:B,2,0),"匹配不到系统")</f>
        <v>SAP</v>
      </c>
      <c r="E3" s="15" t="s">
        <v>20</v>
      </c>
      <c r="F3" s="9" t="str">
        <f>$C$7&amp;IF($C$8&lt;&gt;"",$C$8 &amp; "\","") &amp; IF($C$9="期间",数据库!H2&amp;"\",IF($C$9="国家",$C$2&amp;"\",""))&amp;IF($C$10&lt;&gt;"",$C$10 &amp; "\","") &amp;IF($C$11="期间",数据库!H2&amp;"\",IF($C$11="国家",$C$2&amp;"\",""))&amp;IF($C$12&lt;&gt;"",$C$12 &amp; "\","")</f>
        <v>C:\Users\mhuang3\OneDrive - Rockwell Automation, Inc\Monthly Accrual\0215\FY2001 Oct\</v>
      </c>
      <c r="G3" s="5" t="s">
        <v>63</v>
      </c>
      <c r="H3" s="5" t="s">
        <v>81</v>
      </c>
    </row>
    <row r="4" spans="2:12" x14ac:dyDescent="0.25">
      <c r="E4" s="15" t="s">
        <v>24</v>
      </c>
      <c r="F4" s="9" t="str">
        <f>$C$7&amp;IF($C$8&lt;&gt;"",$C$8 &amp; "\","") &amp; IF($C$9="期间",数据库!H3&amp;"\",IF($C$9="国家",$C$2&amp;"\",""))&amp;IF($C$10&lt;&gt;"",$C$10 &amp; "\","") &amp;IF($C$11="期间",数据库!H3&amp;"\",IF($C$11="国家",$C$2&amp;"\",""))&amp;IF($C$12&lt;&gt;"",$C$12 &amp; "\","")</f>
        <v>C:\Users\mhuang3\OneDrive - Rockwell Automation, Inc\Monthly Accrual\0215\FY2002 Nov\</v>
      </c>
      <c r="G4" s="5" t="s">
        <v>63</v>
      </c>
      <c r="H4" s="5" t="s">
        <v>81</v>
      </c>
    </row>
    <row r="5" spans="2:12" x14ac:dyDescent="0.25">
      <c r="B5" s="1" t="s">
        <v>55</v>
      </c>
      <c r="C5" s="4" t="s">
        <v>57</v>
      </c>
      <c r="E5" s="15" t="s">
        <v>28</v>
      </c>
      <c r="F5" s="9" t="str">
        <f>$C$7&amp;IF($C$8&lt;&gt;"",$C$8 &amp; "\","") &amp; IF($C$9="期间",数据库!H4&amp;"\",IF($C$9="国家",$C$2&amp;"\",""))&amp;IF($C$10&lt;&gt;"",$C$10 &amp; "\","") &amp;IF($C$11="期间",数据库!H4&amp;"\",IF($C$11="国家",$C$2&amp;"\",""))&amp;IF($C$12&lt;&gt;"",$C$12 &amp; "\","")</f>
        <v>C:\Users\mhuang3\OneDrive - Rockwell Automation, Inc\Monthly Accrual\0215\FY2003 Dec\</v>
      </c>
      <c r="G5" s="5" t="s">
        <v>63</v>
      </c>
      <c r="H5" s="5" t="s">
        <v>81</v>
      </c>
    </row>
    <row r="6" spans="2:12" x14ac:dyDescent="0.25">
      <c r="E6" s="15" t="s">
        <v>31</v>
      </c>
      <c r="F6" s="9" t="str">
        <f>$C$7&amp;IF($C$8&lt;&gt;"",$C$8 &amp; "\","") &amp; IF($C$9="期间",数据库!H5&amp;"\",IF($C$9="国家",$C$2&amp;"\",""))&amp;IF($C$10&lt;&gt;"",$C$10 &amp; "\","") &amp;IF($C$11="期间",数据库!H5&amp;"\",IF($C$11="国家",$C$2&amp;"\",""))&amp;IF($C$12&lt;&gt;"",$C$12 &amp; "\","")</f>
        <v>C:\Users\mhuang3\OneDrive - Rockwell Automation, Inc\Monthly Accrual\0215\FY2004 Jan\</v>
      </c>
      <c r="G6" s="5" t="s">
        <v>63</v>
      </c>
      <c r="H6" s="5" t="s">
        <v>81</v>
      </c>
    </row>
    <row r="7" spans="2:12" x14ac:dyDescent="0.25">
      <c r="B7" s="6" t="s">
        <v>7</v>
      </c>
      <c r="C7" s="9" t="s">
        <v>61</v>
      </c>
      <c r="D7" t="s">
        <v>10</v>
      </c>
      <c r="E7" s="15" t="s">
        <v>34</v>
      </c>
      <c r="F7" s="9" t="str">
        <f>$C$7&amp;IF($C$8&lt;&gt;"",$C$8 &amp; "\","") &amp; IF($C$9="期间",数据库!H6&amp;"\",IF($C$9="国家",$C$2&amp;"\",""))&amp;IF($C$10&lt;&gt;"",$C$10 &amp; "\","") &amp;IF($C$11="期间",数据库!H6&amp;"\",IF($C$11="国家",$C$2&amp;"\",""))&amp;IF($C$12&lt;&gt;"",$C$12 &amp; "\","")</f>
        <v>C:\Users\mhuang3\OneDrive - Rockwell Automation, Inc\Monthly Accrual\0215\FY2005 Feb\</v>
      </c>
      <c r="G7" s="5" t="s">
        <v>62</v>
      </c>
      <c r="H7" s="5" t="s">
        <v>82</v>
      </c>
    </row>
    <row r="8" spans="2:12" x14ac:dyDescent="0.25">
      <c r="B8" s="6" t="s">
        <v>58</v>
      </c>
      <c r="C8" s="12"/>
      <c r="E8" s="15" t="s">
        <v>36</v>
      </c>
      <c r="F8" s="9" t="str">
        <f>$C$7&amp;IF($C$8&lt;&gt;"",$C$8 &amp; "\","") &amp; IF($C$9="期间",数据库!H7&amp;"\",IF($C$9="国家",$C$2&amp;"\",""))&amp;IF($C$10&lt;&gt;"",$C$10 &amp; "\","") &amp;IF($C$11="期间",数据库!H7&amp;"\",IF($C$11="国家",$C$2&amp;"\",""))&amp;IF($C$12&lt;&gt;"",$C$12 &amp; "\","")</f>
        <v>C:\Users\mhuang3\OneDrive - Rockwell Automation, Inc\Monthly Accrual\0215\FY2006 Mar\</v>
      </c>
      <c r="G8" s="5" t="s">
        <v>62</v>
      </c>
      <c r="H8" s="5" t="s">
        <v>82</v>
      </c>
    </row>
    <row r="9" spans="2:12" x14ac:dyDescent="0.25">
      <c r="B9" s="6" t="s">
        <v>8</v>
      </c>
      <c r="C9" s="4" t="s">
        <v>3</v>
      </c>
      <c r="E9" s="15" t="s">
        <v>39</v>
      </c>
      <c r="F9" s="9" t="str">
        <f>$C$7&amp;IF($C$8&lt;&gt;"",$C$8 &amp; "\","") &amp; IF($C$9="期间",数据库!H8&amp;"\",IF($C$9="国家",$C$2&amp;"\",""))&amp;IF($C$10&lt;&gt;"",$C$10 &amp; "\","") &amp;IF($C$11="期间",数据库!H8&amp;"\",IF($C$11="国家",$C$2&amp;"\",""))&amp;IF($C$12&lt;&gt;"",$C$12 &amp; "\","")</f>
        <v>C:\Users\mhuang3\OneDrive - Rockwell Automation, Inc\Monthly Accrual\0215\FY2007 Apr\</v>
      </c>
      <c r="G9" s="5" t="s">
        <v>62</v>
      </c>
      <c r="H9" s="5" t="s">
        <v>82</v>
      </c>
    </row>
    <row r="10" spans="2:12" x14ac:dyDescent="0.25">
      <c r="B10" s="6" t="s">
        <v>59</v>
      </c>
      <c r="C10" s="12"/>
      <c r="E10" s="15" t="s">
        <v>42</v>
      </c>
      <c r="F10" s="9" t="str">
        <f>$C$7&amp;IF($C$8&lt;&gt;"",$C$8 &amp; "\","") &amp; IF($C$9="期间",数据库!H9&amp;"\",IF($C$9="国家",$C$2&amp;"\",""))&amp;IF($C$10&lt;&gt;"",$C$10 &amp; "\","") &amp;IF($C$11="期间",数据库!H9&amp;"\",IF($C$11="国家",$C$2&amp;"\",""))&amp;IF($C$12&lt;&gt;"",$C$12 &amp; "\","")</f>
        <v>C:\Users\mhuang3\OneDrive - Rockwell Automation, Inc\Monthly Accrual\0215\FY2008 May\</v>
      </c>
      <c r="G10" s="5" t="s">
        <v>62</v>
      </c>
      <c r="H10" s="5" t="s">
        <v>82</v>
      </c>
    </row>
    <row r="11" spans="2:12" x14ac:dyDescent="0.25">
      <c r="B11" s="6" t="s">
        <v>9</v>
      </c>
      <c r="C11" s="4" t="s">
        <v>54</v>
      </c>
      <c r="E11" s="15" t="s">
        <v>45</v>
      </c>
      <c r="F11" s="9" t="str">
        <f>$C$7&amp;IF($C$8&lt;&gt;"",$C$8 &amp; "\","") &amp; IF($C$9="期间",数据库!H10&amp;"\",IF($C$9="国家",$C$2&amp;"\",""))&amp;IF($C$10&lt;&gt;"",$C$10 &amp; "\","") &amp;IF($C$11="期间",数据库!H10&amp;"\",IF($C$11="国家",$C$2&amp;"\",""))&amp;IF($C$12&lt;&gt;"",$C$12 &amp; "\","")</f>
        <v>C:\Users\mhuang3\OneDrive - Rockwell Automation, Inc\Monthly Accrual\0215\FY2009 Jun\</v>
      </c>
      <c r="G11" s="5" t="s">
        <v>62</v>
      </c>
      <c r="H11" s="5" t="s">
        <v>82</v>
      </c>
    </row>
    <row r="12" spans="2:12" x14ac:dyDescent="0.25">
      <c r="B12" s="6" t="s">
        <v>60</v>
      </c>
      <c r="C12" s="12"/>
      <c r="E12" s="15" t="s">
        <v>47</v>
      </c>
      <c r="F12" s="9" t="str">
        <f>$C$7&amp;IF($C$8&lt;&gt;"",$C$8 &amp; "\","") &amp; IF($C$9="期间",数据库!H11&amp;"\",IF($C$9="国家",$C$2&amp;"\",""))&amp;IF($C$10&lt;&gt;"",$C$10 &amp; "\","") &amp;IF($C$11="期间",数据库!H11&amp;"\",IF($C$11="国家",$C$2&amp;"\",""))&amp;IF($C$12&lt;&gt;"",$C$12 &amp; "\","")</f>
        <v>C:\Users\mhuang3\OneDrive - Rockwell Automation, Inc\Monthly Accrual\0215\FY2010 Jul\</v>
      </c>
      <c r="G12" s="5" t="s">
        <v>62</v>
      </c>
      <c r="H12" s="5" t="s">
        <v>82</v>
      </c>
    </row>
    <row r="13" spans="2:12" x14ac:dyDescent="0.25">
      <c r="E13" s="15" t="s">
        <v>49</v>
      </c>
      <c r="F13" s="9" t="str">
        <f>$C$7&amp;IF($C$8&lt;&gt;"",$C$8 &amp; "\","") &amp; IF($C$9="期间",数据库!H12&amp;"\",IF($C$9="国家",$C$2&amp;"\",""))&amp;IF($C$10&lt;&gt;"",$C$10 &amp; "\","") &amp;IF($C$11="期间",数据库!H12&amp;"\",IF($C$11="国家",$C$2&amp;"\",""))&amp;IF($C$12&lt;&gt;"",$C$12 &amp; "\","")</f>
        <v>C:\Users\mhuang3\OneDrive - Rockwell Automation, Inc\Monthly Accrual\0215\FY2011 Aug\</v>
      </c>
      <c r="G13" s="5" t="s">
        <v>62</v>
      </c>
      <c r="H13" s="5" t="s">
        <v>82</v>
      </c>
    </row>
    <row r="14" spans="2:12" x14ac:dyDescent="0.25">
      <c r="B14" s="6" t="s">
        <v>11</v>
      </c>
      <c r="C14" s="4" t="s">
        <v>85</v>
      </c>
      <c r="E14" s="15" t="s">
        <v>51</v>
      </c>
      <c r="F14" s="9" t="str">
        <f>$C$7&amp;IF($C$8&lt;&gt;"",$C$8 &amp; "\","") &amp; IF($C$9="期间",数据库!H13&amp;"\",IF($C$9="国家",$C$2&amp;"\",""))&amp;IF($C$10&lt;&gt;"",$C$10 &amp; "\","") &amp;IF($C$11="期间",数据库!H13&amp;"\",IF($C$11="国家",$C$2&amp;"\",""))&amp;IF($C$12&lt;&gt;"",$C$12 &amp; "\","")</f>
        <v>C:\Users\mhuang3\OneDrive - Rockwell Automation, Inc\Monthly Accrual\0215\FY2012 Sep\</v>
      </c>
      <c r="G14" s="5" t="s">
        <v>62</v>
      </c>
      <c r="H14" s="5" t="s">
        <v>82</v>
      </c>
    </row>
    <row r="17" spans="2:9" x14ac:dyDescent="0.25">
      <c r="B17" s="11"/>
      <c r="C17" s="11"/>
      <c r="E17" s="11"/>
      <c r="F17" s="11"/>
      <c r="G17" s="11"/>
      <c r="H17" s="11"/>
      <c r="I17" s="11"/>
    </row>
    <row r="18" spans="2:9" x14ac:dyDescent="0.25">
      <c r="B18" s="11"/>
      <c r="C18" s="11"/>
      <c r="E18" s="11"/>
      <c r="F18" s="11"/>
      <c r="G18" s="11"/>
      <c r="H18" s="11"/>
      <c r="I18" s="11"/>
    </row>
    <row r="19" spans="2:9" x14ac:dyDescent="0.25">
      <c r="B19" s="11"/>
      <c r="C19" s="11"/>
      <c r="E19" s="11"/>
      <c r="F19" s="11"/>
      <c r="G19" s="11"/>
      <c r="H19" s="11"/>
      <c r="I19" s="11"/>
    </row>
    <row r="20" spans="2:9" x14ac:dyDescent="0.25">
      <c r="B20" s="11"/>
      <c r="C20" s="11"/>
      <c r="E20" s="11"/>
      <c r="F20" s="11"/>
      <c r="G20" s="11"/>
      <c r="H20" s="11"/>
      <c r="I20" s="11"/>
    </row>
    <row r="21" spans="2:9" x14ac:dyDescent="0.25">
      <c r="B21" s="11"/>
      <c r="C21" s="11"/>
      <c r="E21" s="11"/>
      <c r="F21" s="11"/>
      <c r="G21" s="11"/>
      <c r="H21" s="11"/>
      <c r="I21" s="11"/>
    </row>
    <row r="22" spans="2:9" x14ac:dyDescent="0.25">
      <c r="B22" s="11"/>
      <c r="C22" s="11"/>
      <c r="E22" s="11"/>
      <c r="F22" s="11"/>
      <c r="G22" s="11"/>
      <c r="H22" s="11"/>
      <c r="I22" s="11"/>
    </row>
    <row r="23" spans="2:9" x14ac:dyDescent="0.25">
      <c r="B23" s="11"/>
      <c r="C23" s="11"/>
      <c r="E23" s="11"/>
      <c r="F23" s="11"/>
      <c r="G23" s="11"/>
      <c r="H23" s="11"/>
      <c r="I23" s="11"/>
    </row>
    <row r="24" spans="2:9" x14ac:dyDescent="0.25">
      <c r="B24" s="11"/>
      <c r="C24" s="11"/>
      <c r="E24" s="11"/>
      <c r="F24" s="11"/>
      <c r="G24" s="11"/>
      <c r="H24" s="11"/>
      <c r="I24" s="11"/>
    </row>
    <row r="25" spans="2:9" x14ac:dyDescent="0.25">
      <c r="B25" s="11"/>
      <c r="C25" s="11"/>
      <c r="E25" s="11"/>
      <c r="F25" s="11"/>
      <c r="G25" s="11"/>
      <c r="H25" s="11"/>
      <c r="I25" s="11"/>
    </row>
    <row r="26" spans="2:9" ht="19.5" customHeight="1" x14ac:dyDescent="0.25">
      <c r="B26" s="11"/>
      <c r="C26" s="11"/>
      <c r="E26" s="11"/>
      <c r="F26" s="11"/>
      <c r="G26" s="11"/>
      <c r="H26" s="11"/>
      <c r="I26" s="11"/>
    </row>
  </sheetData>
  <conditionalFormatting sqref="H3:H14">
    <cfRule type="cellIs" dxfId="2" priority="1" operator="equal">
      <formula>"开启"</formula>
    </cfRule>
  </conditionalFormatting>
  <dataValidations count="2">
    <dataValidation type="list" allowBlank="1" showInputMessage="1" showErrorMessage="1" sqref="C9 C11">
      <formula1>"期间,国家,无"</formula1>
    </dataValidation>
    <dataValidation type="list" allowBlank="1" showInputMessage="1" showErrorMessage="1" sqref="L2">
      <formula1>"是,否"</formula1>
    </dataValidation>
  </dataValidations>
  <pageMargins left="0.7" right="0.7" top="0.75" bottom="0.75" header="0.3" footer="0.3"/>
  <pageSetup orientation="portrait" r:id="rId1"/>
  <ignoredErrors>
    <ignoredError sqref="E3:E14 C4:C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首选项_检测">
                <anchor moveWithCells="1" sizeWithCells="1">
                  <from>
                    <xdr:col>1</xdr:col>
                    <xdr:colOff>142875</xdr:colOff>
                    <xdr:row>21</xdr:row>
                    <xdr:rowOff>85725</xdr:rowOff>
                  </from>
                  <to>
                    <xdr:col>2</xdr:col>
                    <xdr:colOff>781050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" name="Button 20">
              <controlPr defaultSize="0" print="0" autoFill="0" autoPict="0" macro="[0]!首选项_清除检测">
                <anchor moveWithCells="1" sizeWithCells="1">
                  <from>
                    <xdr:col>1</xdr:col>
                    <xdr:colOff>142875</xdr:colOff>
                    <xdr:row>16</xdr:row>
                    <xdr:rowOff>123825</xdr:rowOff>
                  </from>
                  <to>
                    <xdr:col>2</xdr:col>
                    <xdr:colOff>781050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首选项_清除预设">
                <anchor moveWithCells="1" sizeWithCells="1">
                  <from>
                    <xdr:col>1</xdr:col>
                    <xdr:colOff>142875</xdr:colOff>
                    <xdr:row>19</xdr:row>
                    <xdr:rowOff>9525</xdr:rowOff>
                  </from>
                  <to>
                    <xdr:col>2</xdr:col>
                    <xdr:colOff>790575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7" name="Button 30">
              <controlPr defaultSize="0" print="0" autoFill="0" autoPict="0" macro="[0]!首选项_开启关闭1">
                <anchor moveWithCells="1" sizeWithCells="1">
                  <from>
                    <xdr:col>8</xdr:col>
                    <xdr:colOff>9525</xdr:colOff>
                    <xdr:row>2</xdr:row>
                    <xdr:rowOff>9525</xdr:rowOff>
                  </from>
                  <to>
                    <xdr:col>9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8" name="Button 34">
              <controlPr defaultSize="0" print="0" autoFill="0" autoPict="0" macro="[0]!首选项_开启关闭2">
                <anchor moveWithCells="1" sizeWithCells="1">
                  <from>
                    <xdr:col>8</xdr:col>
                    <xdr:colOff>9525</xdr:colOff>
                    <xdr:row>3</xdr:row>
                    <xdr:rowOff>0</xdr:rowOff>
                  </from>
                  <to>
                    <xdr:col>9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9" name="Button 37">
              <controlPr defaultSize="0" print="0" autoFill="0" autoPict="0" macro="[0]!首选项_开启关闭3">
                <anchor moveWithCells="1" sizeWithCells="1">
                  <from>
                    <xdr:col>8</xdr:col>
                    <xdr:colOff>9525</xdr:colOff>
                    <xdr:row>4</xdr:row>
                    <xdr:rowOff>9525</xdr:rowOff>
                  </from>
                  <to>
                    <xdr:col>9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10" name="Button 38">
              <controlPr defaultSize="0" print="0" autoFill="0" autoPict="0" macro="[0]!首选项_开启关闭4">
                <anchor moveWithCells="1" sizeWithCells="1">
                  <from>
                    <xdr:col>8</xdr:col>
                    <xdr:colOff>9525</xdr:colOff>
                    <xdr:row>5</xdr:row>
                    <xdr:rowOff>9525</xdr:rowOff>
                  </from>
                  <to>
                    <xdr:col>9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首选项_开启关闭5">
                <anchor moveWithCells="1" sizeWithCells="1">
                  <from>
                    <xdr:col>8</xdr:col>
                    <xdr:colOff>9525</xdr:colOff>
                    <xdr:row>6</xdr:row>
                    <xdr:rowOff>9525</xdr:rowOff>
                  </from>
                  <to>
                    <xdr:col>9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12" name="Button 40">
              <controlPr defaultSize="0" print="0" autoFill="0" autoPict="0" macro="[0]!首选项_开启关闭6">
                <anchor moveWithCells="1" sizeWithCells="1">
                  <from>
                    <xdr:col>8</xdr:col>
                    <xdr:colOff>9525</xdr:colOff>
                    <xdr:row>7</xdr:row>
                    <xdr:rowOff>9525</xdr:rowOff>
                  </from>
                  <to>
                    <xdr:col>9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3" name="Button 41">
              <controlPr defaultSize="0" print="0" autoFill="0" autoPict="0" macro="[0]!首选项_开启关闭7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4" name="Button 42">
              <controlPr defaultSize="0" print="0" autoFill="0" autoPict="0" macro="[0]!首选项_开启关闭8">
                <anchor moveWithCells="1" sizeWithCells="1">
                  <from>
                    <xdr:col>8</xdr:col>
                    <xdr:colOff>9525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5" name="Button 43">
              <controlPr defaultSize="0" print="0" autoFill="0" autoPict="0" macro="[0]!首选项_开启关闭9">
                <anchor moveWithCells="1" sizeWithCells="1">
                  <from>
                    <xdr:col>8</xdr:col>
                    <xdr:colOff>9525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6" name="Button 44">
              <controlPr defaultSize="0" print="0" autoFill="0" autoPict="0" macro="[0]!首选项_开启关闭10">
                <anchor moveWithCells="1" sizeWithCells="1">
                  <from>
                    <xdr:col>8</xdr:col>
                    <xdr:colOff>9525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7" name="Button 45">
              <controlPr defaultSize="0" print="0" autoFill="0" autoPict="0" macro="[0]!首选项_开启关闭11">
                <anchor moveWithCells="1" sizeWithCells="1">
                  <from>
                    <xdr:col>8</xdr:col>
                    <xdr:colOff>9525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8" name="Button 46">
              <controlPr defaultSize="0" print="0" autoFill="0" autoPict="0" macro="[0]!首选项_开启关闭12">
                <anchor moveWithCells="1" sizeWithCells="1">
                  <from>
                    <xdr:col>8</xdr:col>
                    <xdr:colOff>9525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9" name="Button 47">
              <controlPr defaultSize="0" print="0" autoFill="0" autoPict="0" macro="[0]!首选项_开启所有">
                <anchor moveWithCells="1" sizeWithCells="1">
                  <from>
                    <xdr:col>4</xdr:col>
                    <xdr:colOff>104775</xdr:colOff>
                    <xdr:row>16</xdr:row>
                    <xdr:rowOff>114300</xdr:rowOff>
                  </from>
                  <to>
                    <xdr:col>6</xdr:col>
                    <xdr:colOff>447675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20" name="Button 48">
              <controlPr defaultSize="0" print="0" autoFill="0" autoPict="0" macro="[0]!首选项_关闭所有">
                <anchor moveWithCells="1" sizeWithCells="1">
                  <from>
                    <xdr:col>4</xdr:col>
                    <xdr:colOff>123825</xdr:colOff>
                    <xdr:row>21</xdr:row>
                    <xdr:rowOff>85725</xdr:rowOff>
                  </from>
                  <to>
                    <xdr:col>6</xdr:col>
                    <xdr:colOff>466725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OFFSET(数据库!$A$2,,,COUNTIF(数据库!$A$2:$A$99,"&lt;&gt;""*")-COUNTBLANK(数据库!$A$2:$A$99))</xm:f>
          </x14:formula1>
          <xm:sqref>C2</xm:sqref>
        </x14:dataValidation>
        <x14:dataValidation type="list" allowBlank="1" showInputMessage="1" showErrorMessage="1">
          <x14:formula1>
            <xm:f>数据库!$C$2:$C$4</xm:f>
          </x14:formula1>
          <xm:sqref>C14</xm:sqref>
        </x14:dataValidation>
        <x14:dataValidation type="list" allowBlank="1" showInputMessage="1" showErrorMessage="1">
          <x14:formula1>
            <xm:f>数据库!$D$2:$D$4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28"/>
  <sheetViews>
    <sheetView showGridLines="0" tabSelected="1" workbookViewId="0">
      <selection activeCell="G19" sqref="G19"/>
    </sheetView>
  </sheetViews>
  <sheetFormatPr defaultRowHeight="15" x14ac:dyDescent="0.25"/>
  <cols>
    <col min="1" max="1" width="2" style="13" customWidth="1"/>
    <col min="2" max="3" width="11.5703125" customWidth="1"/>
    <col min="4" max="4" width="34.7109375" customWidth="1"/>
    <col min="5" max="5" width="3.28515625" style="20" bestFit="1" customWidth="1"/>
    <col min="7" max="7" width="10.85546875" style="2" bestFit="1" customWidth="1"/>
    <col min="8" max="8" width="4.85546875" style="2" bestFit="1" customWidth="1"/>
    <col min="9" max="9" width="4" style="2" bestFit="1" customWidth="1"/>
    <col min="10" max="10" width="4.5703125" style="2" bestFit="1" customWidth="1"/>
    <col min="11" max="11" width="4.28515625" style="2" bestFit="1" customWidth="1"/>
    <col min="12" max="12" width="3.85546875" style="2" bestFit="1" customWidth="1"/>
    <col min="13" max="13" width="4.28515625" style="2" bestFit="1" customWidth="1"/>
    <col min="14" max="14" width="4.5703125" style="2" bestFit="1" customWidth="1"/>
    <col min="15" max="15" width="4.140625" style="2" bestFit="1" customWidth="1"/>
    <col min="16" max="16" width="4.85546875" style="2" bestFit="1" customWidth="1"/>
    <col min="17" max="17" width="4" style="2" bestFit="1" customWidth="1"/>
    <col min="18" max="18" width="3.42578125" style="2" bestFit="1" customWidth="1"/>
    <col min="19" max="19" width="4.42578125" style="2" bestFit="1" customWidth="1"/>
    <col min="20" max="20" width="4.28515625" style="2" bestFit="1" customWidth="1"/>
  </cols>
  <sheetData>
    <row r="1" spans="1:26" x14ac:dyDescent="0.25">
      <c r="A1" s="14"/>
      <c r="B1" s="14"/>
      <c r="C1" s="14"/>
      <c r="D1" s="14"/>
      <c r="E1" s="19"/>
      <c r="F1" s="13"/>
      <c r="G1" s="1" t="str">
        <f>C21</f>
        <v>GL Account</v>
      </c>
      <c r="H1" s="1" t="s">
        <v>94</v>
      </c>
      <c r="I1" s="1" t="s">
        <v>19</v>
      </c>
      <c r="J1" s="1" t="s">
        <v>23</v>
      </c>
      <c r="K1" s="1" t="s">
        <v>27</v>
      </c>
      <c r="L1" s="1" t="s">
        <v>18</v>
      </c>
      <c r="M1" s="1" t="s">
        <v>22</v>
      </c>
      <c r="N1" s="1" t="s">
        <v>26</v>
      </c>
      <c r="O1" s="1" t="s">
        <v>30</v>
      </c>
      <c r="P1" s="1" t="s">
        <v>33</v>
      </c>
      <c r="Q1" s="1" t="s">
        <v>35</v>
      </c>
      <c r="R1" s="1" t="s">
        <v>38</v>
      </c>
      <c r="S1" s="1" t="s">
        <v>41</v>
      </c>
      <c r="T1" s="1" t="s">
        <v>44</v>
      </c>
      <c r="U1" s="13"/>
      <c r="V1" s="13"/>
      <c r="W1" s="13"/>
      <c r="X1" s="13"/>
      <c r="Y1" s="13"/>
      <c r="Z1" s="13"/>
    </row>
    <row r="2" spans="1:26" x14ac:dyDescent="0.25">
      <c r="A2" s="14"/>
      <c r="B2" s="1" t="s">
        <v>3</v>
      </c>
      <c r="C2" s="5" t="str">
        <f>首选项!C2</f>
        <v>0215</v>
      </c>
      <c r="D2" s="14"/>
      <c r="E2" s="19"/>
      <c r="F2" s="13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3"/>
      <c r="V2" s="13"/>
      <c r="W2" s="13"/>
      <c r="X2" s="13"/>
      <c r="Y2" s="13"/>
      <c r="Z2" s="13"/>
    </row>
    <row r="3" spans="1:26" x14ac:dyDescent="0.25">
      <c r="A3" s="14"/>
      <c r="B3" s="1" t="s">
        <v>64</v>
      </c>
      <c r="C3" s="12" t="s">
        <v>65</v>
      </c>
      <c r="D3" s="14"/>
      <c r="E3" s="19"/>
      <c r="F3" s="13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3"/>
      <c r="V3" s="13"/>
      <c r="W3" s="13"/>
      <c r="X3" s="13"/>
      <c r="Y3" s="13"/>
      <c r="Z3" s="13"/>
    </row>
    <row r="4" spans="1:26" x14ac:dyDescent="0.25">
      <c r="A4" s="14"/>
      <c r="B4" s="14"/>
      <c r="C4" s="14"/>
      <c r="D4" s="14"/>
      <c r="E4" s="19"/>
    </row>
    <row r="5" spans="1:26" x14ac:dyDescent="0.25">
      <c r="A5" s="14"/>
      <c r="B5" s="1" t="s">
        <v>66</v>
      </c>
      <c r="C5" s="5" t="str">
        <f>IF(首选项!H3="","未检测",首选项!H3)</f>
        <v>开启</v>
      </c>
      <c r="D5" s="9" t="s">
        <v>88</v>
      </c>
      <c r="E5" s="19" t="s">
        <v>63</v>
      </c>
    </row>
    <row r="6" spans="1:26" x14ac:dyDescent="0.25">
      <c r="A6" s="14"/>
      <c r="B6" s="1" t="s">
        <v>67</v>
      </c>
      <c r="C6" s="5" t="str">
        <f>IF(首选项!H4="","未检测",首选项!H4)</f>
        <v>开启</v>
      </c>
      <c r="D6" s="9" t="s">
        <v>89</v>
      </c>
      <c r="E6" s="19" t="s">
        <v>63</v>
      </c>
    </row>
    <row r="7" spans="1:26" x14ac:dyDescent="0.25">
      <c r="A7" s="14"/>
      <c r="B7" s="1" t="s">
        <v>68</v>
      </c>
      <c r="C7" s="5" t="str">
        <f>IF(首选项!H5="","未检测",首选项!H5)</f>
        <v>开启</v>
      </c>
      <c r="D7" s="9" t="s">
        <v>102</v>
      </c>
      <c r="E7" s="19" t="s">
        <v>63</v>
      </c>
    </row>
    <row r="8" spans="1:26" x14ac:dyDescent="0.25">
      <c r="A8" s="14"/>
      <c r="B8" s="1" t="s">
        <v>69</v>
      </c>
      <c r="C8" s="5" t="str">
        <f>IF(首选项!H6="","未检测",首选项!H6)</f>
        <v>开启</v>
      </c>
      <c r="D8" s="9" t="s">
        <v>106</v>
      </c>
      <c r="E8" s="19" t="s">
        <v>63</v>
      </c>
    </row>
    <row r="9" spans="1:26" x14ac:dyDescent="0.25">
      <c r="A9" s="14"/>
      <c r="B9" s="1" t="s">
        <v>70</v>
      </c>
      <c r="C9" s="5" t="str">
        <f>IF(首选项!H7="","未检测",首选项!H7)</f>
        <v>不可用</v>
      </c>
      <c r="D9" s="9" t="s">
        <v>90</v>
      </c>
      <c r="E9" s="19"/>
    </row>
    <row r="10" spans="1:26" x14ac:dyDescent="0.25">
      <c r="A10" s="14"/>
      <c r="B10" s="1" t="s">
        <v>71</v>
      </c>
      <c r="C10" s="5" t="str">
        <f>IF(首选项!H8="","未检测",首选项!H8)</f>
        <v>不可用</v>
      </c>
      <c r="D10" s="9" t="s">
        <v>90</v>
      </c>
      <c r="E10" s="19"/>
    </row>
    <row r="11" spans="1:26" x14ac:dyDescent="0.25">
      <c r="A11" s="14"/>
      <c r="B11" s="1" t="s">
        <v>72</v>
      </c>
      <c r="C11" s="5" t="str">
        <f>IF(首选项!H9="","未检测",首选项!H9)</f>
        <v>不可用</v>
      </c>
      <c r="D11" s="9" t="s">
        <v>90</v>
      </c>
      <c r="E11" s="19"/>
    </row>
    <row r="12" spans="1:26" x14ac:dyDescent="0.25">
      <c r="A12" s="14"/>
      <c r="B12" s="1" t="s">
        <v>73</v>
      </c>
      <c r="C12" s="5" t="str">
        <f>IF(首选项!H10="","未检测",首选项!H10)</f>
        <v>不可用</v>
      </c>
      <c r="D12" s="9" t="s">
        <v>90</v>
      </c>
      <c r="E12" s="19"/>
    </row>
    <row r="13" spans="1:26" x14ac:dyDescent="0.25">
      <c r="A13" s="14"/>
      <c r="B13" s="1" t="s">
        <v>74</v>
      </c>
      <c r="C13" s="5" t="str">
        <f>IF(首选项!H11="","未检测",首选项!H11)</f>
        <v>不可用</v>
      </c>
      <c r="D13" s="9" t="s">
        <v>90</v>
      </c>
      <c r="E13" s="19"/>
    </row>
    <row r="14" spans="1:26" x14ac:dyDescent="0.25">
      <c r="A14" s="14"/>
      <c r="B14" s="1" t="s">
        <v>75</v>
      </c>
      <c r="C14" s="5" t="str">
        <f>IF(首选项!H12="","未检测",首选项!H12)</f>
        <v>不可用</v>
      </c>
      <c r="D14" s="9" t="s">
        <v>90</v>
      </c>
      <c r="E14" s="19"/>
    </row>
    <row r="15" spans="1:26" x14ac:dyDescent="0.25">
      <c r="A15" s="14"/>
      <c r="B15" s="1" t="s">
        <v>76</v>
      </c>
      <c r="C15" s="5" t="str">
        <f>IF(首选项!H13="","未检测",首选项!H13)</f>
        <v>不可用</v>
      </c>
      <c r="D15" s="9" t="s">
        <v>90</v>
      </c>
      <c r="E15" s="19"/>
    </row>
    <row r="16" spans="1:26" x14ac:dyDescent="0.25">
      <c r="A16" s="14"/>
      <c r="B16" s="1" t="s">
        <v>77</v>
      </c>
      <c r="C16" s="5" t="str">
        <f>IF(首选项!H14="","未检测",首选项!H14)</f>
        <v>不可用</v>
      </c>
      <c r="D16" s="9" t="s">
        <v>90</v>
      </c>
      <c r="E16" s="19"/>
    </row>
    <row r="17" spans="1:5" x14ac:dyDescent="0.25">
      <c r="A17" s="14"/>
      <c r="B17" s="14"/>
      <c r="C17" s="14"/>
      <c r="D17" s="14"/>
      <c r="E17" s="19"/>
    </row>
    <row r="18" spans="1:5" x14ac:dyDescent="0.25">
      <c r="A18" s="14"/>
      <c r="B18" s="14"/>
      <c r="C18" s="14"/>
      <c r="D18" s="14"/>
      <c r="E18" s="19"/>
    </row>
    <row r="19" spans="1:5" x14ac:dyDescent="0.25">
      <c r="A19" s="14"/>
      <c r="B19" s="14"/>
      <c r="C19" s="14"/>
      <c r="D19" s="14"/>
      <c r="E19" s="19"/>
    </row>
    <row r="20" spans="1:5" x14ac:dyDescent="0.25">
      <c r="A20" s="14"/>
      <c r="B20" s="14"/>
      <c r="C20" s="14"/>
      <c r="D20" s="14"/>
      <c r="E20" s="19"/>
    </row>
    <row r="21" spans="1:5" x14ac:dyDescent="0.25">
      <c r="A21" s="14"/>
      <c r="B21" s="1" t="s">
        <v>92</v>
      </c>
      <c r="C21" s="16" t="s">
        <v>93</v>
      </c>
      <c r="D21" s="14"/>
      <c r="E21" s="19"/>
    </row>
    <row r="22" spans="1:5" x14ac:dyDescent="0.25">
      <c r="A22" s="14"/>
      <c r="B22" s="1" t="s">
        <v>95</v>
      </c>
      <c r="C22" s="12">
        <v>10</v>
      </c>
      <c r="D22" s="14"/>
      <c r="E22" s="19"/>
    </row>
    <row r="23" spans="1:5" x14ac:dyDescent="0.25">
      <c r="A23" s="14"/>
      <c r="B23" s="1" t="s">
        <v>96</v>
      </c>
      <c r="C23" s="12" t="s">
        <v>98</v>
      </c>
      <c r="D23" s="14"/>
      <c r="E23" s="19"/>
    </row>
    <row r="24" spans="1:5" x14ac:dyDescent="0.25">
      <c r="A24" s="14"/>
      <c r="B24" s="1" t="s">
        <v>97</v>
      </c>
      <c r="C24" s="12" t="s">
        <v>99</v>
      </c>
      <c r="D24" s="14"/>
      <c r="E24" s="19"/>
    </row>
    <row r="25" spans="1:5" x14ac:dyDescent="0.25">
      <c r="A25" s="14"/>
      <c r="B25" s="1" t="s">
        <v>100</v>
      </c>
      <c r="C25" s="12" t="s">
        <v>101</v>
      </c>
      <c r="D25" s="18" t="s">
        <v>105</v>
      </c>
      <c r="E25" s="19"/>
    </row>
    <row r="26" spans="1:5" x14ac:dyDescent="0.25">
      <c r="A26" s="14"/>
      <c r="B26" s="1" t="s">
        <v>103</v>
      </c>
      <c r="C26" s="12" t="s">
        <v>104</v>
      </c>
      <c r="D26" s="14"/>
      <c r="E26" s="19"/>
    </row>
    <row r="27" spans="1:5" x14ac:dyDescent="0.25">
      <c r="A27" s="14"/>
      <c r="B27" s="14"/>
      <c r="C27" s="14"/>
      <c r="D27" s="14"/>
      <c r="E27" s="19"/>
    </row>
    <row r="28" spans="1:5" x14ac:dyDescent="0.25">
      <c r="A28" s="14"/>
      <c r="B28" s="14"/>
      <c r="C28" s="14"/>
      <c r="D28" s="14"/>
      <c r="E28" s="19"/>
    </row>
  </sheetData>
  <conditionalFormatting sqref="C5:C16">
    <cfRule type="cellIs" dxfId="1" priority="2" operator="equal">
      <formula>"开启"</formula>
    </cfRule>
  </conditionalFormatting>
  <conditionalFormatting sqref="D5:D16">
    <cfRule type="cellIs" dxfId="0" priority="1" operator="equal">
      <formula>"开启"</formula>
    </cfRule>
  </conditionalFormatting>
  <dataValidations count="1">
    <dataValidation type="list" allowBlank="1" showInputMessage="1" showErrorMessage="1" sqref="C21">
      <formula1>"Cost Center,GL Account"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返回首页">
                <anchor moveWithCells="1" sizeWithCells="1">
                  <from>
                    <xdr:col>3</xdr:col>
                    <xdr:colOff>123825</xdr:colOff>
                    <xdr:row>0</xdr:row>
                    <xdr:rowOff>190500</xdr:rowOff>
                  </from>
                  <to>
                    <xdr:col>3</xdr:col>
                    <xdr:colOff>2286000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ayroll_获得文件">
                <anchor moveWithCells="1" sizeWithCells="1">
                  <from>
                    <xdr:col>1</xdr:col>
                    <xdr:colOff>28575</xdr:colOff>
                    <xdr:row>16</xdr:row>
                    <xdr:rowOff>114300</xdr:rowOff>
                  </from>
                  <to>
                    <xdr:col>3</xdr:col>
                    <xdr:colOff>2266950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Payroll_获得数据">
                <anchor moveWithCells="1" sizeWithCells="1">
                  <from>
                    <xdr:col>3</xdr:col>
                    <xdr:colOff>200025</xdr:colOff>
                    <xdr:row>20</xdr:row>
                    <xdr:rowOff>19050</xdr:rowOff>
                  </from>
                  <to>
                    <xdr:col>3</xdr:col>
                    <xdr:colOff>2219325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3"/>
  <sheetViews>
    <sheetView workbookViewId="0">
      <selection activeCell="E2" sqref="E2"/>
    </sheetView>
  </sheetViews>
  <sheetFormatPr defaultRowHeight="15" x14ac:dyDescent="0.25"/>
  <cols>
    <col min="1" max="1" width="13" style="2" customWidth="1"/>
    <col min="2" max="2" width="9.140625" style="2"/>
    <col min="3" max="3" width="14" style="2" customWidth="1"/>
    <col min="4" max="4" width="10.7109375" style="2" customWidth="1"/>
    <col min="5" max="8" width="13.28515625" style="2" customWidth="1"/>
    <col min="9" max="16384" width="9.140625" style="2"/>
  </cols>
  <sheetData>
    <row r="1" spans="1:15" x14ac:dyDescent="0.25">
      <c r="A1" s="1" t="s">
        <v>0</v>
      </c>
      <c r="B1" s="1" t="s">
        <v>4</v>
      </c>
      <c r="C1" s="6" t="s">
        <v>11</v>
      </c>
      <c r="D1" s="6" t="s">
        <v>55</v>
      </c>
      <c r="E1" s="6" t="s">
        <v>84</v>
      </c>
      <c r="F1" s="6" t="s">
        <v>83</v>
      </c>
      <c r="G1" s="6" t="s">
        <v>85</v>
      </c>
      <c r="H1" s="6" t="s">
        <v>56</v>
      </c>
      <c r="I1" s="6" t="s">
        <v>12</v>
      </c>
      <c r="J1" s="6" t="s">
        <v>13</v>
      </c>
      <c r="K1" s="6" t="s">
        <v>14</v>
      </c>
      <c r="L1" s="6" t="s">
        <v>15</v>
      </c>
      <c r="M1" s="6" t="s">
        <v>16</v>
      </c>
      <c r="N1" s="6" t="s">
        <v>17</v>
      </c>
      <c r="O1" s="6" t="s">
        <v>53</v>
      </c>
    </row>
    <row r="2" spans="1:15" x14ac:dyDescent="0.25">
      <c r="A2" s="3" t="s">
        <v>1</v>
      </c>
      <c r="B2" s="2" t="s">
        <v>5</v>
      </c>
      <c r="C2" s="7" t="s">
        <v>84</v>
      </c>
      <c r="D2" s="10">
        <f ca="1">MID(IF(MONTH(NOW())&gt;=10,YEAR(NOW())+1,YEAR(NOW())),3,2)-2</f>
        <v>18</v>
      </c>
      <c r="E2" s="10" t="str">
        <f>"FY" &amp; 首选项!$C$5 &amp; M2 &amp; "-" &amp; L2</f>
        <v>FY2001-Oct</v>
      </c>
      <c r="F2" s="10" t="str">
        <f>"FY" &amp; 首选项!$C$5 &amp; M2</f>
        <v>FY2001</v>
      </c>
      <c r="G2" s="10" t="str">
        <f>"FY" &amp; 首选项!$C$5 &amp; M2 &amp; " " &amp; L2</f>
        <v>FY2001 Oct</v>
      </c>
      <c r="H2" s="10" t="str">
        <f>HLOOKUP(首选项!$C$14,$E$1:$G$13,I2+1,0)</f>
        <v>FY2001 Oct</v>
      </c>
      <c r="I2" s="7">
        <v>1</v>
      </c>
      <c r="J2" s="7" t="s">
        <v>18</v>
      </c>
      <c r="K2" s="7">
        <v>10</v>
      </c>
      <c r="L2" s="7" t="s">
        <v>19</v>
      </c>
      <c r="M2" s="8" t="s">
        <v>20</v>
      </c>
      <c r="N2" s="8" t="s">
        <v>21</v>
      </c>
      <c r="O2" s="2" t="s">
        <v>48</v>
      </c>
    </row>
    <row r="3" spans="1:15" x14ac:dyDescent="0.25">
      <c r="A3" s="3" t="s">
        <v>2</v>
      </c>
      <c r="B3" s="2" t="s">
        <v>6</v>
      </c>
      <c r="C3" s="7" t="s">
        <v>85</v>
      </c>
      <c r="D3" s="10">
        <f ca="1">MID(IF(MONTH(NOW())&gt;=10,YEAR(NOW())+1,YEAR(NOW())),3,2)-1</f>
        <v>19</v>
      </c>
      <c r="E3" s="10" t="str">
        <f>"FY" &amp; 首选项!$C$5 &amp; M3 &amp; "-" &amp; L3</f>
        <v>FY2002-Nov</v>
      </c>
      <c r="F3" s="10" t="str">
        <f>"FY" &amp; 首选项!$C$5 &amp; M3</f>
        <v>FY2002</v>
      </c>
      <c r="G3" s="10" t="str">
        <f>"FY" &amp; 首选项!$C$5 &amp; M3 &amp; " " &amp; L3</f>
        <v>FY2002 Nov</v>
      </c>
      <c r="H3" s="10" t="str">
        <f>HLOOKUP(首选项!$C$14,$E$1:$G$13,I3+1,0)</f>
        <v>FY2002 Nov</v>
      </c>
      <c r="I3" s="7">
        <v>2</v>
      </c>
      <c r="J3" s="7" t="s">
        <v>22</v>
      </c>
      <c r="K3" s="7">
        <v>11</v>
      </c>
      <c r="L3" s="7" t="s">
        <v>23</v>
      </c>
      <c r="M3" s="8" t="s">
        <v>24</v>
      </c>
      <c r="N3" s="8" t="s">
        <v>25</v>
      </c>
      <c r="O3" s="2" t="s">
        <v>50</v>
      </c>
    </row>
    <row r="4" spans="1:15" x14ac:dyDescent="0.25">
      <c r="A4" s="2">
        <v>5002</v>
      </c>
      <c r="B4" s="2" t="s">
        <v>5</v>
      </c>
      <c r="C4" s="7" t="s">
        <v>83</v>
      </c>
      <c r="D4" s="10" t="str">
        <f ca="1">MID(IF(MONTH(NOW())&gt;=10,YEAR(NOW())+1,YEAR(NOW())),3,2)</f>
        <v>20</v>
      </c>
      <c r="E4" s="10" t="str">
        <f>"FY" &amp; 首选项!$C$5 &amp; M4 &amp; "-" &amp; L4</f>
        <v>FY2003-Dec</v>
      </c>
      <c r="F4" s="10" t="str">
        <f>"FY" &amp; 首选项!$C$5 &amp; M4</f>
        <v>FY2003</v>
      </c>
      <c r="G4" s="10" t="str">
        <f>"FY" &amp; 首选项!$C$5 &amp; M4 &amp; " " &amp; L4</f>
        <v>FY2003 Dec</v>
      </c>
      <c r="H4" s="10" t="str">
        <f>HLOOKUP(首选项!$C$14,$E$1:$G$13,I4+1,0)</f>
        <v>FY2003 Dec</v>
      </c>
      <c r="I4" s="7">
        <v>3</v>
      </c>
      <c r="J4" s="7" t="s">
        <v>26</v>
      </c>
      <c r="K4" s="7">
        <v>12</v>
      </c>
      <c r="L4" s="7" t="s">
        <v>27</v>
      </c>
      <c r="M4" s="8" t="s">
        <v>28</v>
      </c>
      <c r="N4" s="8" t="s">
        <v>29</v>
      </c>
      <c r="O4" s="2" t="s">
        <v>52</v>
      </c>
    </row>
    <row r="5" spans="1:15" x14ac:dyDescent="0.25">
      <c r="A5" s="2">
        <v>5004</v>
      </c>
      <c r="B5" s="2" t="s">
        <v>6</v>
      </c>
      <c r="E5" s="10" t="str">
        <f>"FY" &amp; 首选项!$C$5 &amp; M5 &amp; "-" &amp; L5</f>
        <v>FY2004-Jan</v>
      </c>
      <c r="F5" s="10" t="str">
        <f>"FY" &amp; 首选项!$C$5 &amp; M5</f>
        <v>FY2004</v>
      </c>
      <c r="G5" s="10" t="str">
        <f>"FY" &amp; 首选项!$C$5 &amp; M5 &amp; " " &amp; L5</f>
        <v>FY2004 Jan</v>
      </c>
      <c r="H5" s="10" t="str">
        <f>HLOOKUP(首选项!$C$14,$E$1:$G$13,I5+1,0)</f>
        <v>FY2004 Jan</v>
      </c>
      <c r="I5" s="7">
        <v>4</v>
      </c>
      <c r="J5" s="7" t="s">
        <v>30</v>
      </c>
      <c r="K5" s="8" t="s">
        <v>20</v>
      </c>
      <c r="L5" s="7" t="s">
        <v>18</v>
      </c>
      <c r="M5" s="8" t="s">
        <v>31</v>
      </c>
      <c r="N5" s="8" t="s">
        <v>32</v>
      </c>
      <c r="O5" s="2" t="s">
        <v>21</v>
      </c>
    </row>
    <row r="6" spans="1:15" x14ac:dyDescent="0.25">
      <c r="A6" s="2">
        <v>5007</v>
      </c>
      <c r="B6" s="2" t="s">
        <v>6</v>
      </c>
      <c r="E6" s="10" t="str">
        <f>"FY" &amp; 首选项!$C$5 &amp; M6 &amp; "-" &amp; L6</f>
        <v>FY2005-Feb</v>
      </c>
      <c r="F6" s="10" t="str">
        <f>"FY" &amp; 首选项!$C$5 &amp; M6</f>
        <v>FY2005</v>
      </c>
      <c r="G6" s="10" t="str">
        <f>"FY" &amp; 首选项!$C$5 &amp; M6 &amp; " " &amp; L6</f>
        <v>FY2005 Feb</v>
      </c>
      <c r="H6" s="10" t="str">
        <f>HLOOKUP(首选项!$C$14,$E$1:$G$13,I6+1,0)</f>
        <v>FY2005 Feb</v>
      </c>
      <c r="I6" s="7">
        <v>5</v>
      </c>
      <c r="J6" s="7" t="s">
        <v>33</v>
      </c>
      <c r="K6" s="8" t="s">
        <v>24</v>
      </c>
      <c r="L6" s="7" t="s">
        <v>22</v>
      </c>
      <c r="M6" s="8" t="s">
        <v>34</v>
      </c>
      <c r="N6" s="8" t="s">
        <v>33</v>
      </c>
      <c r="O6" s="2" t="s">
        <v>25</v>
      </c>
    </row>
    <row r="7" spans="1:15" x14ac:dyDescent="0.25">
      <c r="A7" s="2">
        <v>5010</v>
      </c>
      <c r="B7" s="2" t="s">
        <v>6</v>
      </c>
      <c r="E7" s="10" t="str">
        <f>"FY" &amp; 首选项!$C$5 &amp; M7 &amp; "-" &amp; L7</f>
        <v>FY2006-Mar</v>
      </c>
      <c r="F7" s="10" t="str">
        <f>"FY" &amp; 首选项!$C$5 &amp; M7</f>
        <v>FY2006</v>
      </c>
      <c r="G7" s="10" t="str">
        <f>"FY" &amp; 首选项!$C$5 &amp; M7 &amp; " " &amp; L7</f>
        <v>FY2006 Mar</v>
      </c>
      <c r="H7" s="10" t="str">
        <f>HLOOKUP(首选项!$C$14,$E$1:$G$13,I7+1,0)</f>
        <v>FY2006 Mar</v>
      </c>
      <c r="I7" s="7">
        <v>6</v>
      </c>
      <c r="J7" s="7" t="s">
        <v>35</v>
      </c>
      <c r="K7" s="8" t="s">
        <v>28</v>
      </c>
      <c r="L7" s="7" t="s">
        <v>26</v>
      </c>
      <c r="M7" s="8" t="s">
        <v>36</v>
      </c>
      <c r="N7" s="8" t="s">
        <v>37</v>
      </c>
      <c r="O7" s="2" t="s">
        <v>29</v>
      </c>
    </row>
    <row r="8" spans="1:15" x14ac:dyDescent="0.25">
      <c r="A8" s="2">
        <v>5012</v>
      </c>
      <c r="B8" s="2" t="s">
        <v>6</v>
      </c>
      <c r="E8" s="10" t="str">
        <f>"FY" &amp; 首选项!$C$5 &amp; M8 &amp; "-" &amp; L8</f>
        <v>FY2007-Apr</v>
      </c>
      <c r="F8" s="10" t="str">
        <f>"FY" &amp; 首选项!$C$5 &amp; M8</f>
        <v>FY2007</v>
      </c>
      <c r="G8" s="10" t="str">
        <f>"FY" &amp; 首选项!$C$5 &amp; M8 &amp; " " &amp; L8</f>
        <v>FY2007 Apr</v>
      </c>
      <c r="H8" s="10" t="str">
        <f>HLOOKUP(首选项!$C$14,$E$1:$G$13,I8+1,0)</f>
        <v>FY2007 Apr</v>
      </c>
      <c r="I8" s="7">
        <v>7</v>
      </c>
      <c r="J8" s="7" t="s">
        <v>38</v>
      </c>
      <c r="K8" s="8" t="s">
        <v>31</v>
      </c>
      <c r="L8" s="7" t="s">
        <v>30</v>
      </c>
      <c r="M8" s="8" t="s">
        <v>39</v>
      </c>
      <c r="N8" s="8" t="s">
        <v>40</v>
      </c>
      <c r="O8" s="2" t="s">
        <v>32</v>
      </c>
    </row>
    <row r="9" spans="1:15" x14ac:dyDescent="0.25">
      <c r="E9" s="10" t="str">
        <f>"FY" &amp; 首选项!$C$5 &amp; M9 &amp; "-" &amp; L9</f>
        <v>FY2008-May</v>
      </c>
      <c r="F9" s="10" t="str">
        <f>"FY" &amp; 首选项!$C$5 &amp; M9</f>
        <v>FY2008</v>
      </c>
      <c r="G9" s="10" t="str">
        <f>"FY" &amp; 首选项!$C$5 &amp; M9 &amp; " " &amp; L9</f>
        <v>FY2008 May</v>
      </c>
      <c r="H9" s="10" t="str">
        <f>HLOOKUP(首选项!$C$14,$E$1:$G$13,I9+1,0)</f>
        <v>FY2008 May</v>
      </c>
      <c r="I9" s="7">
        <v>8</v>
      </c>
      <c r="J9" s="7" t="s">
        <v>41</v>
      </c>
      <c r="K9" s="8" t="s">
        <v>34</v>
      </c>
      <c r="L9" s="7" t="s">
        <v>33</v>
      </c>
      <c r="M9" s="8" t="s">
        <v>42</v>
      </c>
      <c r="N9" s="8" t="s">
        <v>43</v>
      </c>
      <c r="O9" s="2" t="s">
        <v>33</v>
      </c>
    </row>
    <row r="10" spans="1:15" x14ac:dyDescent="0.25">
      <c r="E10" s="10" t="str">
        <f>"FY" &amp; 首选项!$C$5 &amp; M10 &amp; "-" &amp; L10</f>
        <v>FY2009-Jun</v>
      </c>
      <c r="F10" s="10" t="str">
        <f>"FY" &amp; 首选项!$C$5 &amp; M10</f>
        <v>FY2009</v>
      </c>
      <c r="G10" s="10" t="str">
        <f>"FY" &amp; 首选项!$C$5 &amp; M10 &amp; " " &amp; L10</f>
        <v>FY2009 Jun</v>
      </c>
      <c r="H10" s="10" t="str">
        <f>HLOOKUP(首选项!$C$14,$E$1:$G$13,I10+1,0)</f>
        <v>FY2009 Jun</v>
      </c>
      <c r="I10" s="7">
        <v>9</v>
      </c>
      <c r="J10" s="7" t="s">
        <v>44</v>
      </c>
      <c r="K10" s="8" t="s">
        <v>36</v>
      </c>
      <c r="L10" s="7" t="s">
        <v>35</v>
      </c>
      <c r="M10" s="8" t="s">
        <v>45</v>
      </c>
      <c r="N10" s="8" t="s">
        <v>46</v>
      </c>
      <c r="O10" s="2" t="s">
        <v>37</v>
      </c>
    </row>
    <row r="11" spans="1:15" x14ac:dyDescent="0.25">
      <c r="E11" s="10" t="str">
        <f>"FY" &amp; 首选项!$C$5 &amp; M11 &amp; "-" &amp; L11</f>
        <v>FY2010-Jul</v>
      </c>
      <c r="F11" s="10" t="str">
        <f>"FY" &amp; 首选项!$C$5 &amp; M11</f>
        <v>FY2010</v>
      </c>
      <c r="G11" s="10" t="str">
        <f>"FY" &amp; 首选项!$C$5 &amp; M11 &amp; " " &amp; L11</f>
        <v>FY2010 Jul</v>
      </c>
      <c r="H11" s="10" t="str">
        <f>HLOOKUP(首选项!$C$14,$E$1:$G$13,I11+1,0)</f>
        <v>FY2010 Jul</v>
      </c>
      <c r="I11" s="7">
        <v>10</v>
      </c>
      <c r="J11" s="7" t="s">
        <v>19</v>
      </c>
      <c r="K11" s="8" t="s">
        <v>39</v>
      </c>
      <c r="L11" s="7" t="s">
        <v>38</v>
      </c>
      <c r="M11" s="8" t="s">
        <v>47</v>
      </c>
      <c r="N11" s="8" t="s">
        <v>48</v>
      </c>
      <c r="O11" s="2" t="s">
        <v>40</v>
      </c>
    </row>
    <row r="12" spans="1:15" x14ac:dyDescent="0.25">
      <c r="E12" s="10" t="str">
        <f>"FY" &amp; 首选项!$C$5 &amp; M12 &amp; "-" &amp; L12</f>
        <v>FY2011-Aug</v>
      </c>
      <c r="F12" s="10" t="str">
        <f>"FY" &amp; 首选项!$C$5 &amp; M12</f>
        <v>FY2011</v>
      </c>
      <c r="G12" s="10" t="str">
        <f>"FY" &amp; 首选项!$C$5 &amp; M12 &amp; " " &amp; L12</f>
        <v>FY2011 Aug</v>
      </c>
      <c r="H12" s="10" t="str">
        <f>HLOOKUP(首选项!$C$14,$E$1:$G$13,I12+1,0)</f>
        <v>FY2011 Aug</v>
      </c>
      <c r="I12" s="7">
        <v>11</v>
      </c>
      <c r="J12" s="7" t="s">
        <v>23</v>
      </c>
      <c r="K12" s="8" t="s">
        <v>42</v>
      </c>
      <c r="L12" s="7" t="s">
        <v>41</v>
      </c>
      <c r="M12" s="8" t="s">
        <v>49</v>
      </c>
      <c r="N12" s="8" t="s">
        <v>50</v>
      </c>
      <c r="O12" s="2" t="s">
        <v>43</v>
      </c>
    </row>
    <row r="13" spans="1:15" x14ac:dyDescent="0.25">
      <c r="E13" s="10" t="str">
        <f>"FY" &amp; 首选项!$C$5 &amp; M13 &amp; "-" &amp; L13</f>
        <v>FY2012-Sep</v>
      </c>
      <c r="F13" s="10" t="str">
        <f>"FY" &amp; 首选项!$C$5 &amp; M13</f>
        <v>FY2012</v>
      </c>
      <c r="G13" s="10" t="str">
        <f>"FY" &amp; 首选项!$C$5 &amp; M13 &amp; " " &amp; L13</f>
        <v>FY2012 Sep</v>
      </c>
      <c r="H13" s="10" t="str">
        <f>HLOOKUP(首选项!$C$14,$E$1:$G$13,I13+1,0)</f>
        <v>FY2012 Sep</v>
      </c>
      <c r="I13" s="7">
        <v>12</v>
      </c>
      <c r="J13" s="7" t="s">
        <v>27</v>
      </c>
      <c r="K13" s="8" t="s">
        <v>45</v>
      </c>
      <c r="L13" s="7" t="s">
        <v>44</v>
      </c>
      <c r="M13" s="8" t="s">
        <v>51</v>
      </c>
      <c r="N13" s="8" t="s">
        <v>52</v>
      </c>
      <c r="O13" s="2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首选项</vt:lpstr>
      <vt:lpstr>Payroll</vt:lpstr>
      <vt:lpstr>数据库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2020-01-17T08:17:37Z</dcterms:modified>
</cp:coreProperties>
</file>