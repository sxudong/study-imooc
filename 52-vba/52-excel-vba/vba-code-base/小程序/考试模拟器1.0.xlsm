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程序员\VBA\我的小程序\junyi-test-simulator\"/>
    </mc:Choice>
  </mc:AlternateContent>
  <bookViews>
    <workbookView xWindow="0" yWindow="0" windowWidth="23940" windowHeight="10185"/>
  </bookViews>
  <sheets>
    <sheet name="主程序" sheetId="2" r:id="rId1"/>
    <sheet name="题库" sheetId="1" r:id="rId2"/>
    <sheet name="数据库" sheetId="3" r:id="rId3"/>
    <sheet name="临时数据" sheetId="5" r:id="rId4"/>
  </sheets>
  <functionGroups builtInGroupCount="18"/>
  <definedNames>
    <definedName name="_xlnm._FilterDatabase" localSheetId="1" hidden="1">题库!$A$1:$K$401</definedName>
    <definedName name="_xlnm._FilterDatabase" localSheetId="0" hidden="1">主程序!$B$2:$D$4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 i="3" l="1"/>
  <c r="H3" i="3"/>
  <c r="I3" i="3"/>
  <c r="G4" i="3"/>
  <c r="H4" i="3"/>
  <c r="I4" i="3"/>
  <c r="G5" i="3"/>
  <c r="H5" i="3"/>
  <c r="I5" i="3"/>
  <c r="G6" i="3"/>
  <c r="H6" i="3"/>
  <c r="I6" i="3"/>
  <c r="G7" i="3"/>
  <c r="H7" i="3"/>
  <c r="I7" i="3"/>
  <c r="G8" i="3"/>
  <c r="H8" i="3"/>
  <c r="I8" i="3"/>
  <c r="G9" i="3"/>
  <c r="H9" i="3"/>
  <c r="I9" i="3"/>
  <c r="G10" i="3"/>
  <c r="H10" i="3"/>
  <c r="I10" i="3"/>
  <c r="G11" i="3"/>
  <c r="H11" i="3"/>
  <c r="I11" i="3"/>
  <c r="G12" i="3"/>
  <c r="H12" i="3"/>
  <c r="I12" i="3"/>
  <c r="G13" i="3"/>
  <c r="H13" i="3"/>
  <c r="I13" i="3"/>
  <c r="G14" i="3"/>
  <c r="H14" i="3"/>
  <c r="I14" i="3"/>
  <c r="G15" i="3"/>
  <c r="H15" i="3"/>
  <c r="I15" i="3"/>
  <c r="G16" i="3"/>
  <c r="H16" i="3"/>
  <c r="I16" i="3"/>
  <c r="G17" i="3"/>
  <c r="H17" i="3"/>
  <c r="I17" i="3"/>
  <c r="G18" i="3"/>
  <c r="H18" i="3"/>
  <c r="I18" i="3"/>
  <c r="G19" i="3"/>
  <c r="H19" i="3"/>
  <c r="I19" i="3"/>
  <c r="G20" i="3"/>
  <c r="H20" i="3"/>
  <c r="I20" i="3"/>
  <c r="I2" i="3"/>
  <c r="H2" i="3"/>
  <c r="G2" i="3"/>
  <c r="G21" i="3" l="1"/>
  <c r="H21" i="3"/>
  <c r="I21" i="3"/>
  <c r="J2" i="3"/>
  <c r="J3" i="3"/>
  <c r="J20" i="3"/>
  <c r="J16" i="3"/>
  <c r="J12" i="3"/>
  <c r="J8" i="3"/>
  <c r="J4" i="3"/>
  <c r="J17" i="3"/>
  <c r="J13" i="3"/>
  <c r="J9" i="3"/>
  <c r="J5" i="3"/>
  <c r="J18" i="3"/>
  <c r="J14" i="3"/>
  <c r="J10" i="3"/>
  <c r="J6" i="3"/>
  <c r="J19" i="3"/>
  <c r="J15" i="3"/>
  <c r="J11" i="3"/>
  <c r="J7" i="3"/>
  <c r="J21" i="3" l="1"/>
</calcChain>
</file>

<file path=xl/sharedStrings.xml><?xml version="1.0" encoding="utf-8"?>
<sst xmlns="http://schemas.openxmlformats.org/spreadsheetml/2006/main" count="3517" uniqueCount="1907">
  <si>
    <t>答案</t>
    <phoneticPr fontId="1" type="noConversion"/>
  </si>
  <si>
    <t>反映企业管理层受托责任履行情况</t>
    <phoneticPr fontId="1" type="noConversion"/>
  </si>
  <si>
    <t>投资性房地产由成本覆式转为公允价值模式时按追溯调整法进行会计
处理</t>
    <phoneticPr fontId="1" type="noConversion"/>
  </si>
  <si>
    <t>计提存货跌价准备</t>
    <phoneticPr fontId="1" type="noConversion"/>
  </si>
  <si>
    <t>下列各项中，体现实质重于形式质量要求的有（）</t>
    <phoneticPr fontId="1" type="noConversion"/>
  </si>
  <si>
    <t>材料按计划成本进行日常核算</t>
    <phoneticPr fontId="1" type="noConversion"/>
  </si>
  <si>
    <t>判断题</t>
    <phoneticPr fontId="1" type="noConversion"/>
  </si>
  <si>
    <t>计提产品质量保证金</t>
    <phoneticPr fontId="1" type="noConversion"/>
  </si>
  <si>
    <t>单选题</t>
    <phoneticPr fontId="1" type="noConversion"/>
  </si>
  <si>
    <t>提取法定盈余公积</t>
    <phoneticPr fontId="1" type="noConversion"/>
  </si>
  <si>
    <t>费用可能表现为企业负债的减少</t>
    <phoneticPr fontId="1" type="noConversion"/>
  </si>
  <si>
    <t>选项B</t>
    <phoneticPr fontId="1" type="noConversion"/>
  </si>
  <si>
    <t>重置成本</t>
    <phoneticPr fontId="1" type="noConversion"/>
  </si>
  <si>
    <t>√</t>
    <phoneticPr fontId="1" type="noConversion"/>
  </si>
  <si>
    <t>B</t>
    <phoneticPr fontId="1" type="noConversion"/>
  </si>
  <si>
    <t>发出商品</t>
    <phoneticPr fontId="1" type="noConversion"/>
  </si>
  <si>
    <t>D</t>
    <phoneticPr fontId="1" type="noConversion"/>
  </si>
  <si>
    <t>科目</t>
    <phoneticPr fontId="1" type="noConversion"/>
  </si>
  <si>
    <t>中级会计实务</t>
    <phoneticPr fontId="1" type="noConversion"/>
  </si>
  <si>
    <t>章节序号</t>
    <phoneticPr fontId="1" type="noConversion"/>
  </si>
  <si>
    <t>章节名称</t>
    <phoneticPr fontId="1" type="noConversion"/>
  </si>
  <si>
    <t>中级会计实务</t>
    <phoneticPr fontId="1" type="noConversion"/>
  </si>
  <si>
    <t>总论</t>
    <phoneticPr fontId="1" type="noConversion"/>
  </si>
  <si>
    <t>存货</t>
    <phoneticPr fontId="1" type="noConversion"/>
  </si>
  <si>
    <t>固定资产</t>
    <phoneticPr fontId="1" type="noConversion"/>
  </si>
  <si>
    <t>无形资产</t>
    <phoneticPr fontId="1" type="noConversion"/>
  </si>
  <si>
    <t>长期股权投资</t>
    <phoneticPr fontId="1" type="noConversion"/>
  </si>
  <si>
    <t>投资性房地产</t>
    <phoneticPr fontId="1" type="noConversion"/>
  </si>
  <si>
    <t>资产减值</t>
    <phoneticPr fontId="1" type="noConversion"/>
  </si>
  <si>
    <t>金融资产和金融负债</t>
    <phoneticPr fontId="1" type="noConversion"/>
  </si>
  <si>
    <t>或有事项</t>
    <phoneticPr fontId="1" type="noConversion"/>
  </si>
  <si>
    <t>收入</t>
    <phoneticPr fontId="1" type="noConversion"/>
  </si>
  <si>
    <t>政府补助</t>
    <phoneticPr fontId="1" type="noConversion"/>
  </si>
  <si>
    <t>所得税</t>
    <phoneticPr fontId="1" type="noConversion"/>
  </si>
  <si>
    <t>外币折算</t>
    <phoneticPr fontId="1" type="noConversion"/>
  </si>
  <si>
    <t>财务报告</t>
    <phoneticPr fontId="1" type="noConversion"/>
  </si>
  <si>
    <t>会计政策、会计估计变更和差错更正</t>
    <phoneticPr fontId="1" type="noConversion"/>
  </si>
  <si>
    <t>资产负债表日后事项</t>
  </si>
  <si>
    <t>政府会计</t>
  </si>
  <si>
    <t>民间非营利组织会计</t>
    <phoneticPr fontId="1" type="noConversion"/>
  </si>
  <si>
    <t>中级会计实务</t>
    <phoneticPr fontId="1" type="noConversion"/>
  </si>
  <si>
    <t>职工薪酬及借款费用</t>
    <phoneticPr fontId="1" type="noConversion"/>
  </si>
  <si>
    <t>章节</t>
    <phoneticPr fontId="1" type="noConversion"/>
  </si>
  <si>
    <t>题型</t>
    <phoneticPr fontId="1" type="noConversion"/>
  </si>
  <si>
    <t xml:space="preserve"> </t>
    <phoneticPr fontId="1" type="noConversion"/>
  </si>
  <si>
    <t xml:space="preserve"> </t>
    <phoneticPr fontId="1" type="noConversion"/>
  </si>
  <si>
    <t>允许商品流通企业将采购商品过程中发生的金额较小的运杂费直接计入当期损益，体现了会计信息的重要性质量要求。（）（2019年）</t>
    <phoneticPr fontId="1" type="noConversion"/>
  </si>
  <si>
    <t>ABCD</t>
    <phoneticPr fontId="1" type="noConversion"/>
  </si>
  <si>
    <t>题目说法正确。</t>
    <phoneticPr fontId="1" type="noConversion"/>
  </si>
  <si>
    <t>无形资产残值的估计应以其处置时的可收回金额为基础</t>
    <phoneticPr fontId="1" type="noConversion"/>
  </si>
  <si>
    <t>历史成本：实际成本，取得或制造某项资产所实际支付的金额。</t>
    <phoneticPr fontId="1" type="noConversion"/>
  </si>
  <si>
    <t>有合同部分：
可变现净值：205×1000-1×1000 = 204,000
成本：200×1000 = 200,000 &lt; 可变现净值 =&gt; 不减值
没有合同部分
可变现净值：191×500-1×500 = 95,000
成本：200×500 = 100,000 &gt; 可变现净值 =&gt; 减值：100,000-95,000 = 5,000</t>
    <phoneticPr fontId="1" type="noConversion"/>
  </si>
  <si>
    <t>原材料可变现净值 = 30×5-40-15 = 95万
材料可变现净值 = 产成品估计售价 - 至完工估计要发生的成本 - 产成品的估计销售费用 - 相关税费</t>
    <phoneticPr fontId="1" type="noConversion"/>
  </si>
  <si>
    <t>索引</t>
    <phoneticPr fontId="1" type="noConversion"/>
  </si>
  <si>
    <t>科目</t>
    <phoneticPr fontId="1" type="noConversion"/>
  </si>
  <si>
    <t>章节序号</t>
    <phoneticPr fontId="1" type="noConversion"/>
  </si>
  <si>
    <t>题目类型</t>
    <phoneticPr fontId="1" type="noConversion"/>
  </si>
  <si>
    <t>题目内容</t>
    <phoneticPr fontId="1" type="noConversion"/>
  </si>
  <si>
    <t>选项A</t>
    <phoneticPr fontId="1" type="noConversion"/>
  </si>
  <si>
    <t>选项C</t>
    <phoneticPr fontId="1" type="noConversion"/>
  </si>
  <si>
    <t>选项D</t>
    <phoneticPr fontId="1" type="noConversion"/>
  </si>
  <si>
    <t>解析</t>
    <phoneticPr fontId="1" type="noConversion"/>
  </si>
  <si>
    <t>多选题</t>
    <phoneticPr fontId="1" type="noConversion"/>
  </si>
  <si>
    <t>下列项目中，属于财务报告目标的有（）</t>
    <phoneticPr fontId="1" type="noConversion"/>
  </si>
  <si>
    <t>向财务报告使用者提供与企业财务状况有关的会计信息</t>
    <phoneticPr fontId="1" type="noConversion"/>
  </si>
  <si>
    <t>向财务报告使用者提供与企业经营成果有关的会计信息</t>
    <phoneticPr fontId="1" type="noConversion"/>
  </si>
  <si>
    <t>仅满足企业内部管理需要</t>
    <phoneticPr fontId="1" type="noConversion"/>
  </si>
  <si>
    <t>ABC</t>
    <phoneticPr fontId="1" type="noConversion"/>
  </si>
  <si>
    <t>财务报告使用人：
  - 外部使用人
  - 投资人：关注资本保值、增值
  - 债权人：关注偿债能力
  - 政府：关注是否足额纳税
  - 社会公众：关注投资方向（散户炒股）
 - 内部使用人
  - 经营管理者：关注有没有给股东挣钱</t>
    <phoneticPr fontId="1" type="noConversion"/>
  </si>
  <si>
    <t>中级会计实务</t>
    <phoneticPr fontId="1" type="noConversion"/>
  </si>
  <si>
    <t>甲公司对乙公司进行投资，占乙公司有表决权股份的60％，乙公司属于甲公司的子公司，下列各项中应当属于乙公司会计核算范围的有（）</t>
    <phoneticPr fontId="1" type="noConversion"/>
  </si>
  <si>
    <t>乙公司接受甲公司以固定资产进行投资</t>
    <phoneticPr fontId="1" type="noConversion"/>
  </si>
  <si>
    <t>乙公司从甲公司处购入原材料</t>
    <phoneticPr fontId="1" type="noConversion"/>
  </si>
  <si>
    <t>乙公司为甲公司提供咨洵服务</t>
    <phoneticPr fontId="1" type="noConversion"/>
  </si>
  <si>
    <t>乙公司从甲公司购入固定资产</t>
    <phoneticPr fontId="1" type="noConversion"/>
  </si>
  <si>
    <t>ABCD</t>
    <phoneticPr fontId="1" type="noConversion"/>
  </si>
  <si>
    <t>选项A：正确
选项B：正确
选项C：正确
选项D：正确</t>
    <phoneticPr fontId="1" type="noConversion"/>
  </si>
  <si>
    <t>中级会计实务</t>
    <phoneticPr fontId="1" type="noConversion"/>
  </si>
  <si>
    <t>多选题</t>
    <phoneticPr fontId="1" type="noConversion"/>
  </si>
  <si>
    <t>下列业务的会计处理中，遵循可比性原则的有（）</t>
    <phoneticPr fontId="1" type="noConversion"/>
  </si>
  <si>
    <t>所得税的核算方法由应付税款法改为资产负债表债务法时按追溯调整
法进行会计处理</t>
    <phoneticPr fontId="1" type="noConversion"/>
  </si>
  <si>
    <t>计提存货跌价准备</t>
    <phoneticPr fontId="1" type="noConversion"/>
  </si>
  <si>
    <t>合用表的准备工作中，统一母子公司的会计政策和会计期间</t>
    <phoneticPr fontId="1" type="noConversion"/>
  </si>
  <si>
    <t>ABD</t>
    <phoneticPr fontId="1" type="noConversion"/>
  </si>
  <si>
    <t>选项A：正确：追溯调整就是为了可比。
选项B：正确：追溯调整就是为了可比。
选项C：谨慎性
选项D：正确：合并报表要保证同一期间不同企业的可比性。
可比性：会计信息有可比性。
 1. 同一企业不同期间可比（纵向）。
  - 公司去年用直线法折旧，今年依然用直线法折旧。
  - 若发生了会计政策变更，要进行追溯，以保证会计信息前后期一致。
  - 因处置股份致使投资方的影响力由控制转为重大影响时，剩余股份原成本法核算囗径追溯调整至权益法标准。
 - 同一期间不同企业可比（横向）。
  - 将子公司会计政策、会计期间调到母公司标准的合并报表准备工作。</t>
    <phoneticPr fontId="1" type="noConversion"/>
  </si>
  <si>
    <t>商品售后租回不确认商品销售收入</t>
    <phoneticPr fontId="1" type="noConversion"/>
  </si>
  <si>
    <t>母子公司形成的企业集团编制合并财务报表</t>
    <phoneticPr fontId="1" type="noConversion"/>
  </si>
  <si>
    <t>计提固定资产折旧</t>
    <phoneticPr fontId="1" type="noConversion"/>
  </si>
  <si>
    <t>AB</t>
    <phoneticPr fontId="1" type="noConversion"/>
  </si>
  <si>
    <t>选项A：正确 - 形式：买卖  实质：融资
选项B：正确：税法不承认集团是法人，但集团是会计主体，要报表。
选项C：谨慎性
选项D：什么也不算
实质重于形式：经济实质（会计观点）、法律形式（法律观点，税法观点，经济法观点）。
在学习会计和经济法时，对同一个业务，会发现有所不同。
考虑是在做账还是交税，若做账，则使用会计观点。
合并报表的编制（税法不承认集团是法人，但集团是会计主体，要报表）
售后回租（形式：买卖，实质：融资）
售后回购（形式：买卖，实质：融资）
分期收款销售商品的会计处理（形式：多笔交易，实质：一笔融资交易）
融资租赁购买资产（形式：租赁，实质：买卖）</t>
    <phoneticPr fontId="1" type="noConversion"/>
  </si>
  <si>
    <t>判断题</t>
    <phoneticPr fontId="1" type="noConversion"/>
  </si>
  <si>
    <t>企业应当根据所处环境的实际情况，从项目性质和金额大小两个方面判断会计信息的重要性。（）</t>
    <phoneticPr fontId="1" type="noConversion"/>
  </si>
  <si>
    <t>√</t>
    <phoneticPr fontId="1" type="noConversion"/>
  </si>
  <si>
    <t>项目性质：如“净利润”，如果一年净利润只有1块钱要重视。项目金额：金额大的不管什么都要重视。</t>
    <phoneticPr fontId="1" type="noConversion"/>
  </si>
  <si>
    <t>中级会计实务</t>
    <phoneticPr fontId="1" type="noConversion"/>
  </si>
  <si>
    <t>金额小的不用考虑太多。</t>
    <phoneticPr fontId="1" type="noConversion"/>
  </si>
  <si>
    <t>多选题</t>
    <phoneticPr fontId="1" type="noConversion"/>
  </si>
  <si>
    <t>下列各项经济事项中，体现谨慎性的有（）</t>
    <phoneticPr fontId="1" type="noConversion"/>
  </si>
  <si>
    <t>固定资产采用年数总和法提折旧</t>
    <phoneticPr fontId="1" type="noConversion"/>
  </si>
  <si>
    <t>选项A：正确
选项B：正确
选项C：正确
选项D：正确：不能保证所有产品都合格，或有事项</t>
    <phoneticPr fontId="1" type="noConversion"/>
  </si>
  <si>
    <t>判断题</t>
    <phoneticPr fontId="1" type="noConversion"/>
  </si>
  <si>
    <t>企业拥有的一项经济资源，即使没有发生实际成本或者发生的实际成本很小，但如果公允价值能够可靠计量，也应认为符合资产能够可靠计量的确认条件。（）</t>
    <phoneticPr fontId="1" type="noConversion"/>
  </si>
  <si>
    <t>资产确认条件：1. 很可能流入企业。 2. 可靠计量。</t>
    <phoneticPr fontId="1" type="noConversion"/>
  </si>
  <si>
    <t>单选题</t>
    <phoneticPr fontId="1" type="noConversion"/>
  </si>
  <si>
    <t>下列各项中，将导致企业所有者权益总额发生增减变动的是（）</t>
    <phoneticPr fontId="1" type="noConversion"/>
  </si>
  <si>
    <t>实际发放股票股利</t>
    <phoneticPr fontId="1" type="noConversion"/>
  </si>
  <si>
    <t>宣告分配现金股利</t>
    <phoneticPr fontId="1" type="noConversion"/>
  </si>
  <si>
    <t>用盈余公积弥补亏损</t>
    <phoneticPr fontId="1" type="noConversion"/>
  </si>
  <si>
    <t>C</t>
    <phoneticPr fontId="1" type="noConversion"/>
  </si>
  <si>
    <t>选项A：Dr 利润分配 Cr 股本
选项B：Dr 利润分配 Cr 盈余公积
选项C：Dr 利润分配 Cr 应付股利
选项D：Dr 利润分配——盈余公积补亏 Cr 利润分配——未分配利润</t>
    <phoneticPr fontId="1" type="noConversion"/>
  </si>
  <si>
    <t>中级会计实务</t>
    <phoneticPr fontId="1" type="noConversion"/>
  </si>
  <si>
    <t>单选题</t>
    <phoneticPr fontId="1" type="noConversion"/>
  </si>
  <si>
    <t>关于会计要素，下列说法中不正确的是（）</t>
    <phoneticPr fontId="1" type="noConversion"/>
  </si>
  <si>
    <t>收入可能表现为企业负债的减少</t>
    <phoneticPr fontId="1" type="noConversion"/>
  </si>
  <si>
    <t>收入会导致所有者权益增加</t>
    <phoneticPr fontId="1" type="noConversion"/>
  </si>
  <si>
    <t>收入只包括本企业经济利益的流入，而不包括为第三方或客户代收的款项</t>
    <phoneticPr fontId="1" type="noConversion"/>
  </si>
  <si>
    <t>B</t>
    <phoneticPr fontId="1" type="noConversion"/>
  </si>
  <si>
    <t>选项A：正确 - Dr 预收账款 Cr 收入
选项B：错误
选项C：正确
选项D：正确：如应交税费的销项税额</t>
    <phoneticPr fontId="1" type="noConversion"/>
  </si>
  <si>
    <t>企业取得或生产制造某项财产物资时所实际支付的现金或者现金等价物属于（）</t>
    <phoneticPr fontId="1" type="noConversion"/>
  </si>
  <si>
    <t>现值</t>
    <phoneticPr fontId="1" type="noConversion"/>
  </si>
  <si>
    <t>历史成本</t>
    <phoneticPr fontId="1" type="noConversion"/>
  </si>
  <si>
    <t>可变现净值</t>
    <phoneticPr fontId="1" type="noConversion"/>
  </si>
  <si>
    <t>C</t>
    <phoneticPr fontId="1" type="noConversion"/>
  </si>
  <si>
    <t>√</t>
    <phoneticPr fontId="1" type="noConversion"/>
  </si>
  <si>
    <t>重置成本：现行成本，按当前市场重新取得同样的资产所支付的金额。
 - 自己手机用了1年坏了，在二手市场重新买一个同样用了1年手机需要的成本。
 - 存货盘盈、固定资产盘盈的入账成本。</t>
    <phoneticPr fontId="1" type="noConversion"/>
  </si>
  <si>
    <t>公允价值是指市场参与者在计量日发生的有序交易中，出售一项资产所能收到或转移一项负债所需支付的价格。（）</t>
    <phoneticPr fontId="1" type="noConversion"/>
  </si>
  <si>
    <t>公允价值：脱手价格，市场参与者在计量日发生的有序交易中，出售资产或转移负债所需支付的金额。（股票）
 - 交易性金融资产、交易性金融负债期末计量
 - 投资性房地产后续计量口径之一
 - 其他权益工具投资、其他债权投资的期末计量口径选择</t>
    <phoneticPr fontId="1" type="noConversion"/>
  </si>
  <si>
    <t>下列各项中应在资产负债表中“存货“项目列示的有（）</t>
    <phoneticPr fontId="1" type="noConversion"/>
  </si>
  <si>
    <t>生产成本</t>
    <phoneticPr fontId="1" type="noConversion"/>
  </si>
  <si>
    <t>委托加工物资</t>
    <phoneticPr fontId="1" type="noConversion"/>
  </si>
  <si>
    <t>房地产开发企业准备建造商品房的土地</t>
    <phoneticPr fontId="1" type="noConversion"/>
  </si>
  <si>
    <t>选项B：属于在产品。
常见的存货：
- 原材料（构成产品主体的材质）
- 在产品
- 半成品
- 产成品
- 库存商品（完工待售品）
- 周转材料（包装物和低值易耗品）
- 其他（在途物资、发出商品、委托加工物资等）</t>
    <phoneticPr fontId="1" type="noConversion"/>
  </si>
  <si>
    <t>多选题</t>
    <phoneticPr fontId="1" type="noConversion"/>
  </si>
  <si>
    <t>甲公司系增值税一般纳税人，下列各项中，应计入进囗原材料入账价值的有（）（2019年）</t>
    <phoneticPr fontId="1" type="noConversion"/>
  </si>
  <si>
    <t>进囗环节可抵扣增值税</t>
    <phoneticPr fontId="1" type="noConversion"/>
  </si>
  <si>
    <t>关税</t>
    <phoneticPr fontId="1" type="noConversion"/>
  </si>
  <si>
    <t>入库前的仓储费</t>
    <phoneticPr fontId="1" type="noConversion"/>
  </si>
  <si>
    <t>购买价款</t>
    <phoneticPr fontId="1" type="noConversion"/>
  </si>
  <si>
    <t>BCD</t>
    <phoneticPr fontId="1" type="noConversion"/>
  </si>
  <si>
    <t>外购原材料的成本：
- 购买价款
- 相关税费（进口关税、消费税）
- 进货费用
 - 运输费
 - 装卸费
 - 保险费
- 其他可归属于存货采购成本的费用
 - 采购过程中发生的转运仓储费
 - 包装费
 - 运输途中的 `合理损耗`
 - `入库前` 的挑选整理费用等</t>
    <phoneticPr fontId="1" type="noConversion"/>
  </si>
  <si>
    <t>甲公司系增值税一般纳税人。2×19年12月1日外购一批原材料，取得的增值税专用发票上注明的价款为80万元，增值税税额为10.4万元，入库前发生挑选整理费1万元。不考虑其他因素，该批原材料的入账价值为（）万元。（2019年改编）</t>
    <phoneticPr fontId="1" type="noConversion"/>
  </si>
  <si>
    <t>入账价值：80+1 = 81万</t>
    <phoneticPr fontId="1" type="noConversion"/>
  </si>
  <si>
    <t>单选题</t>
    <phoneticPr fontId="1" type="noConversion"/>
  </si>
  <si>
    <t>甲公司向乙公司发出一批实际成本为30万元的原材料，另支付加工费6万元（不含增值税），委托乙公司加工一批适用消费税税率为10％的应税消费品，加工完成收回后，全部用于连续生产应税消费品，乙公司代扣代缴的消费税准予后续抵扣。甲公司和乙公司均系增值税一般纳税人，销售商品适用的增值税均为13％。不考虑其他因素，甲公司收回的该批应税消費品的实际成本为（）万元。</t>
    <phoneticPr fontId="1" type="noConversion"/>
  </si>
  <si>
    <t>A</t>
    <phoneticPr fontId="1" type="noConversion"/>
  </si>
  <si>
    <t>成本：30+6 = 36万
收回委托加工物资时不一定计入存货成本
 1. 消费税
  - 收回用于连接生产 ：`应交税费——应交消费税` 的借方。
  - 收回后直接用于销售或连续生产非应税消费品的消费税计入： `委托加工物资成本`
 2. 增值税
  - 一般纳税人：不计入
  - 小规模纳税人：计入</t>
    <phoneticPr fontId="1" type="noConversion"/>
  </si>
  <si>
    <t>判断题</t>
    <phoneticPr fontId="1" type="noConversion"/>
  </si>
  <si>
    <t>企业接受投资者投入的存货应当按照合同或协议约定的价值入账，但投资合同或协议约定的价值不公允的除外。（）</t>
    <phoneticPr fontId="1" type="noConversion"/>
  </si>
  <si>
    <t>√</t>
    <phoneticPr fontId="1" type="noConversion"/>
  </si>
  <si>
    <t>题目说法正确。</t>
    <phoneticPr fontId="1" type="noConversion"/>
  </si>
  <si>
    <t>企业通过提供劳务取得存货的成本，按提供劳务人员的直接人工和其他直接费用以及可归属于该存货的间接费用确定。（）</t>
    <phoneticPr fontId="1" type="noConversion"/>
  </si>
  <si>
    <t>2017年12月1日，甲、乙公司签订了不可撤销合同，约定以205元/件的价格销售给乙公司1000件商品，2018年1月10日交货。2017年12月31日，甲公司该商品的库存数量为1500件，成本200元/件，市场销售价格191元／件，预计产生销售费用均为1元/件，2017年12月31日甲公司应计提的存货跌价准备为（）元。</t>
    <phoneticPr fontId="1" type="noConversion"/>
  </si>
  <si>
    <t>2x18年12月10日，甲公司与乙公司签订了一份不可撤销的销售合同。合同约定，甲公司应于2×19年2月10日以每台30万元的价格向乙公司交付5台H产品。2x18年12月31日，甲公司库存的专门用于生产上述产品的K材料账面价值为100万元，市场销售价格为98万元，预计将K材料加工成上述产品尚需发生加工成本40万元，与销售上述产品相关的税费15万元。不考虑其他因素，2×18年12月31日，K材料的可变现净值为（）万元。（2019年）</t>
    <phoneticPr fontId="1" type="noConversion"/>
  </si>
  <si>
    <t>B</t>
    <phoneticPr fontId="1" type="noConversion"/>
  </si>
  <si>
    <t>企业的存货跌价准备一经计提，即使减记存货价值的影响因素已经消失，原已计提的存货跌价准备也不得转回。（）（2019年）</t>
    <phoneticPr fontId="1" type="noConversion"/>
  </si>
  <si>
    <t>×</t>
    <phoneticPr fontId="1" type="noConversion"/>
  </si>
  <si>
    <t>存货属于流动资产，计提的减值可以转回。</t>
    <phoneticPr fontId="1" type="noConversion"/>
  </si>
  <si>
    <t>单选题</t>
    <phoneticPr fontId="1" type="noConversion"/>
  </si>
  <si>
    <t>甲公司发出存货采用加权平均法结转成本，按单项存货计提存货跌价准备，存货跌价准备在结转成本时结转。该公司2002年年初存货的账面余额中包含甲产品1200件，其实际成本为360万元，已计提的存货跌价准备为30万元。2002年该公司未发生任何与甲产品有关的进货，甲产品当期售出400件。2002年12月31日，该公司对甲产品进行检查时发现，库存甲产品均无不可撤销合同，其市场销售价格力0.26万元，预计销售每件甲产品还将发生销售费用及相关税金0.005万元。假定不考虑其他因素的影响该公司2002年年末对甲产品计提的存货跌价准备为（）万元。</t>
    <phoneticPr fontId="1" type="noConversion"/>
  </si>
  <si>
    <t>期初存货跌价准备 = 30万
出售产品冲减存货跌价准备 = -(400÷1200)×30 = -10万
年末可变现净值：800×(0.26-0.005) = 204万
年末商品成本：(400÷1200)×360 = 240万
年末存货跌价准备总金额：240-204 = 36万
年末提存货跌价准备应计提金额：36-(30-10) = 16万</t>
    <phoneticPr fontId="1" type="noConversion"/>
  </si>
  <si>
    <t xml:space="preserve">企业为符合国家有关排污标准购置的大型环保设备，因其不能为企业带来直接的经济利益，因此不确认为固定资产。（）
</t>
    <phoneticPr fontId="1" type="noConversion"/>
  </si>
  <si>
    <t>×</t>
    <phoneticPr fontId="1" type="noConversion"/>
  </si>
  <si>
    <t>环保设备和安全设备：因其有助于企业从其他相关资产的使用中获得未来经济利益，也应确认为固定资产。</t>
    <phoneticPr fontId="1" type="noConversion"/>
  </si>
  <si>
    <t>甲公司为增值税一般纳税人，2018年1月15日购入一项生产设备并立即投入使用。取得增值税专用发票上注明价款500万元，增值税税额65万元。当日预付未来一年的设备维修费，取得增值税专用发票上注明的价款为10万元，增值税税额为1.3万元，不考虑其他因素，该设备的入账价值是（）万元。</t>
    <phoneticPr fontId="1" type="noConversion"/>
  </si>
  <si>
    <t>预付未来的设备维修费，是取得固定资产之后的费用。</t>
    <phoneticPr fontId="1" type="noConversion"/>
  </si>
  <si>
    <t>企业自行建造的厂房达到预定可使用状态但尚未办理竣工决算的，按暂估价值转入固定资产并计提折旧，办理竣工决算手续后，不需按新的入账价值调整原已计提的折旧额。（）（2019年）</t>
    <phoneticPr fontId="1" type="noConversion"/>
  </si>
  <si>
    <t>题目说法正确。</t>
    <phoneticPr fontId="1" type="noConversion"/>
  </si>
  <si>
    <t>×</t>
    <phoneticPr fontId="1" type="noConversion"/>
  </si>
  <si>
    <t>按暂估价值入账的固定资产在办理竣工结算后，原来计提的折旧不变。</t>
    <phoneticPr fontId="1" type="noConversion"/>
  </si>
  <si>
    <t>2x18年12月31日，甲公司一台原价为500万元，已计提折旧210万元，已计提减值准备20万元的固定资产出现减值迹象。经减值测试，其未来税前和税后净现金流量的现值分别为250万元和210万元，公允价值减去处置费用后的净额为240万元。不考虑其他因素，2×18年12月31日，甲公司应为该固定资产计提减值准备的金额为（）万元。（2019年）</t>
    <phoneticPr fontId="1" type="noConversion"/>
  </si>
  <si>
    <t>B</t>
    <phoneticPr fontId="1" type="noConversion"/>
  </si>
  <si>
    <t>固定资产可回收价（熟高者）：
- 公允处置净额：固定资产按公允价值出售收入-处置费用
- 未来现金流折现：不出售固定资产，其未来给带来的现金流（计算净现金流量现值时不考虑所得税。）
本题中：
公允处置净额=240万；未来现金流折现=250万 =&gt; 固定资产可回收价=250万
固定资产账面价值：500-210-20 = 270万 &gt; 固定资产可回收价 =&gt; 减值 270-250 = 20万</t>
    <phoneticPr fontId="1" type="noConversion"/>
  </si>
  <si>
    <t>2013年12月31日，甲公司某项固定资产计提减值准备前的账面价值为1000万元，公允价值为980万元，预计处置费用为80万元，预计未来现金流量的现值为1050万元。2013年12月31日，甲公司应对该项固定资产计提的减值准备为（）万元。</t>
    <phoneticPr fontId="1" type="noConversion"/>
  </si>
  <si>
    <t>固定资产可回收价（熟高者）：
- 公允处置净额：固定资产按公允价值出售收入-处置费用
- 未来现金流折现：不出售固定资产，其未来给带来的现金流（计算净现金流量现值时不考虑所得税。）
本题中：
公允处置净额=980-80 = 900万；未来现金流折现=1050万 =&gt; 固定资产可回收价=1050万
固定资产账面价值：1000万 &lt; 固定资产可回收价 =&gt; 不减值</t>
    <phoneticPr fontId="1" type="noConversion"/>
  </si>
  <si>
    <t>2×19年11月20日，甲公司购进一台需要安装的A设备，取得的增值税专用发票注明的设备价款为950万元，可抵扣增值税进项税额为161.5万元，款项已通过银行支付。安装A设备时，甲公司领用原材料36万元（不含增值税额），支付安装人员工资14万元。2×19年12月30日，A设备达到预定可使用状态。A设备预计使用年限为5年，预计净残值率为5％，甲公司采用双倍余额递减法计提折旧。甲公司2×22年度对A设备计提的折旧是（）万元。</t>
    <phoneticPr fontId="1" type="noConversion"/>
  </si>
  <si>
    <t>B</t>
    <phoneticPr fontId="1" type="noConversion"/>
  </si>
  <si>
    <t>固定资产成本：950+36+14 = 1000万
开始折旧时间：2x20年1月1日
第1年：1000×2÷5 = 400万（余600万）
第2年：600×2÷5 = 240万（余320万）
第3年：320×2÷5 = 144万（余176万）
第4年：(176-1000×5%)÷2 = 63万（余113万）
第5年：(176-1000×5%)÷2 = 63万（余50万残值）
2x22年即第3年 = 144万</t>
    <phoneticPr fontId="1" type="noConversion"/>
  </si>
  <si>
    <t>甲公司一台用于生产M产品的设备预计使用年限为5年，预计净残值为零。定M产品各年产量基本均衡。下列折旧方法中，能够使该设备第一年计提折旧金额最多的是（）</t>
    <phoneticPr fontId="1" type="noConversion"/>
  </si>
  <si>
    <t>工作量法</t>
    <phoneticPr fontId="1" type="noConversion"/>
  </si>
  <si>
    <t>年限平均法</t>
    <phoneticPr fontId="1" type="noConversion"/>
  </si>
  <si>
    <t>年数总和法</t>
    <phoneticPr fontId="1" type="noConversion"/>
  </si>
  <si>
    <t>双倍余额递减法</t>
    <phoneticPr fontId="1" type="noConversion"/>
  </si>
  <si>
    <t>D</t>
    <phoneticPr fontId="1" type="noConversion"/>
  </si>
  <si>
    <t>年数总和法：5/15 = 0.33
双倍余额递减法：1/5 = 0.4</t>
    <phoneticPr fontId="1" type="noConversion"/>
  </si>
  <si>
    <t>企业在固定资产发生资本化后续支出并达到预定可使用状态时进行的下列各项会计处理中，正确的有（）。</t>
    <phoneticPr fontId="1" type="noConversion"/>
  </si>
  <si>
    <t>重新预计净残值</t>
    <phoneticPr fontId="1" type="noConversion"/>
  </si>
  <si>
    <t>重新确定折旧方法</t>
    <phoneticPr fontId="1" type="noConversion"/>
  </si>
  <si>
    <t>重新确定入账价值</t>
    <phoneticPr fontId="1" type="noConversion"/>
  </si>
  <si>
    <t>重新预计使用寿命</t>
    <phoneticPr fontId="1" type="noConversion"/>
  </si>
  <si>
    <t>ABCD</t>
    <phoneticPr fontId="1" type="noConversion"/>
  </si>
  <si>
    <t>选项A：正确
选项B：正确
选项C：正确
选项D：正确</t>
    <phoneticPr fontId="1" type="noConversion"/>
  </si>
  <si>
    <t>甲公司某项固定资产已完成改造，累计发生的改造成本为400万元，拆除部分的原价为200万元，改造前，该项固定资产原价为800万元，已计提折旧250万元，不考虑其他因素，甲公司该项固定资产改造后的账面价值为（）万元。</t>
    <phoneticPr fontId="1" type="noConversion"/>
  </si>
  <si>
    <t>固定资产原值：800万，累计折旧：250万
拆除部分的原价：200万，累计折旧：200×250÷800 = 62.5万
改造后的账面价值：(800-250)-(200-62.5)+400 = 812.5万</t>
    <phoneticPr fontId="1" type="noConversion"/>
  </si>
  <si>
    <t>企业的某顶固定资产账面原价为2000万元，采用年限平均法计提折旧，预计使用寿命为10年，预计净残值为0。在第4个折旧年度末企业对该项固定资产的某一主要部件进行更换，发生支出合计1000万元，符合准则规定的固定资产确认条件。被更换部件的账面原价为800万元，出售取得变价收入1万元。固定资产更新改造后的入账价值为（）万元。</t>
    <phoneticPr fontId="1" type="noConversion"/>
  </si>
  <si>
    <t>固定资产账面原价：2000万，累计折旧：2000÷10×4 = 800万
更换部件的账面原价：800万，累计折旧：800×800÷2000 =320万
更新改造后的入账价值：(2000-800)-(800-320)+1000 = 1720 
被替换部分的部件，已经独立于工程了，其出售的价款或当成原材料的价值与在建工程成本无关。</t>
    <phoneticPr fontId="1" type="noConversion"/>
  </si>
  <si>
    <t>下列各项固定资产后续支出中，应予以费用化处理的有（）。</t>
    <phoneticPr fontId="1" type="noConversion"/>
  </si>
  <si>
    <t>机动车交通事故责任强制保险费</t>
    <phoneticPr fontId="1" type="noConversion"/>
  </si>
  <si>
    <t>更换飞机发动机成本</t>
    <phoneticPr fontId="1" type="noConversion"/>
  </si>
  <si>
    <t>办公楼日常修理费</t>
    <phoneticPr fontId="1" type="noConversion"/>
  </si>
  <si>
    <t>生产线改良支出</t>
    <phoneticPr fontId="1" type="noConversion"/>
  </si>
  <si>
    <t>AC</t>
    <phoneticPr fontId="1" type="noConversion"/>
  </si>
  <si>
    <t>选项A：机动车保险费是日常发生的，因此费用化。
选项B：资本化
选项C：费用化
选项D：资本化</t>
    <phoneticPr fontId="1" type="noConversion"/>
  </si>
  <si>
    <t>企业的固定资产因自然灾害产生的净损失应计入资产处置损益。（）（2019年）</t>
    <phoneticPr fontId="1" type="noConversion"/>
  </si>
  <si>
    <t>固定资产处置：
- 主动：`资产处置损益`
- 被动：`营业外收支` （本题）</t>
    <phoneticPr fontId="1" type="noConversion"/>
  </si>
  <si>
    <t>甲公司系增值税一般纳税人。2019年12月31日，甲公司出售一台原价为452万元、已计提折旧364万元的生产设备，开具的增值税专用发票专用上汪明的价款为150万元，增值税税额为19.5万元，出售该生产设备时发生不含增值税的清理费用8万元。不考虑其他因素，甲公司出售该生产设备的利得为（）万元。</t>
    <phoneticPr fontId="1" type="noConversion"/>
  </si>
  <si>
    <t>A</t>
    <phoneticPr fontId="1" type="noConversion"/>
  </si>
  <si>
    <t>出售该生产设备的利得：150-(452-364)-8 = 52万</t>
    <phoneticPr fontId="1" type="noConversion"/>
  </si>
  <si>
    <t>2010年12月31日，甲公司建造了一座核电站达到预定可使用状态并投入使用，累计发生的资本化支出为210,000万元。当日，甲公司预计该核电站在使用寿命届满时为恢复环境发生弃置费用10,000万元，其现值为8,200万元。该核电站的入账价值为（）万元。</t>
    <phoneticPr fontId="1" type="noConversion"/>
  </si>
  <si>
    <t>C</t>
    <phoneticPr fontId="1" type="noConversion"/>
  </si>
  <si>
    <t>核电站的入账价值：210,000+8,200 = 218,200万
存在弃置费用的固定资产：对于石油天然气、核电站设施等弃置费用的金额较大，按照现值计算确定应计入固定资产原价的金额和相应的预计负债（义务）。
- 弃置费用：把设备拆除还原等发生的费用（环境复原费）。</t>
    <phoneticPr fontId="1" type="noConversion"/>
  </si>
  <si>
    <t>2×18年12月20日，甲公司以银行存款200万元外购一项专利技术用于W产品的生产，另支付相关税费1万元，达到预定用途前的专业服务费2万元，宣传W产品告费4万元。2×18年12月20日，该专利技术的入账价值为（）万元。（2019年）</t>
    <phoneticPr fontId="1" type="noConversion"/>
  </si>
  <si>
    <t>入账价值：200+1+2 = 203万（为引入新产品进行宣传发生的费用、可抵扣的增值税进项税不入无形资产成本）</t>
    <phoneticPr fontId="1" type="noConversion"/>
  </si>
  <si>
    <t>甲公司为增值税一般纳税人，2017年2月5日，甲公司以106万元（含增值税6万元）的价格购入一项商标权。为推广该标权，甲公司发生广告宣传费用2万元，上述款项均以银行存款支付。假定不考虑其他因素，甲公司取得该项商标权的入账价值为（）万元。</t>
    <phoneticPr fontId="1" type="noConversion"/>
  </si>
  <si>
    <t>入账价值：100万（为引入新产品进行宣传发生的费用、可抵扣的增值税进项税不入无形资产成本）</t>
    <phoneticPr fontId="1" type="noConversion"/>
  </si>
  <si>
    <t>下列关于企业土地使用权会计处理的表述中，正确的有（）</t>
    <phoneticPr fontId="1" type="noConversion"/>
  </si>
  <si>
    <t>工业企业将以经营租赁方式租出的自有土地使用权作为无形资产核算</t>
    <phoneticPr fontId="1" type="noConversion"/>
  </si>
  <si>
    <t>房地产开发企业将购入的用于建造商品房的土地使用权作为存货核算</t>
    <phoneticPr fontId="1" type="noConversion"/>
  </si>
  <si>
    <t>工业企业将持有并准备增值后转让的自有土地使用权作为投资性房地产核算</t>
    <phoneticPr fontId="1" type="noConversion"/>
  </si>
  <si>
    <t>工业企业将购入的用于建造办公楼的土地用权作为无形资产核算</t>
    <phoneticPr fontId="1" type="noConversion"/>
  </si>
  <si>
    <t>BCD</t>
    <phoneticPr fontId="1" type="noConversion"/>
  </si>
  <si>
    <t>选项A：应作为“投资性房地产”
选项B：正确
选项C：正确
选项D：正确</t>
    <phoneticPr fontId="1" type="noConversion"/>
  </si>
  <si>
    <t>判断题甲企业购入一项土地使用权并用于开发建造一栋自用厂房，该土地使用权的成本应当计入厂房的建造成本。（）</t>
    <phoneticPr fontId="1" type="noConversion"/>
  </si>
  <si>
    <t>开发固定资产所用的土地一般需要作为“无形资产”。</t>
    <phoneticPr fontId="1" type="noConversion"/>
  </si>
  <si>
    <t>下列关于企业内部研发支出会计处理的表述中，正确的有（）。</t>
    <phoneticPr fontId="1" type="noConversion"/>
  </si>
  <si>
    <t>开发阶段的支出，满足资本化条件的，应予以资本化</t>
    <phoneticPr fontId="1" type="noConversion"/>
  </si>
  <si>
    <t>无法合理分配的多项开发活动所发生的共同支出，应全部予以费用化</t>
    <phoneticPr fontId="1" type="noConversion"/>
  </si>
  <si>
    <t>无法区分研究阶段和开发阶段的支出，应全部予以费用化</t>
    <phoneticPr fontId="1" type="noConversion"/>
  </si>
  <si>
    <t>研究阶段的支出，应全部予以费用化</t>
    <phoneticPr fontId="1" type="noConversion"/>
  </si>
  <si>
    <t>ABCD</t>
    <phoneticPr fontId="1" type="noConversion"/>
  </si>
  <si>
    <t>选项A：正确
选项B：正确
选项C：正确
选项D：正确</t>
    <phoneticPr fontId="1" type="noConversion"/>
  </si>
  <si>
    <t>下列各项满足资本化条件后的企业内部的研发支出，应予以资本化会计处理的有（）</t>
    <phoneticPr fontId="1" type="noConversion"/>
  </si>
  <si>
    <t>开发过程中研发人员支出</t>
    <phoneticPr fontId="1" type="noConversion"/>
  </si>
  <si>
    <t>开发过裎中正常耗用的材料</t>
    <phoneticPr fontId="1" type="noConversion"/>
  </si>
  <si>
    <t>开发过程中所用专利权的摊销</t>
    <phoneticPr fontId="1" type="noConversion"/>
  </si>
  <si>
    <t>开发过程中固定资产的折旧</t>
    <phoneticPr fontId="1" type="noConversion"/>
  </si>
  <si>
    <t>选项A：正确
选项B：正确
选项C：正确
选项D：正确
内部研发形成的无形资产可直接归属的成本：
- 耗费的材料
- 劳务成本
- 注册费
- 在开发该无形资产过程中使用的：
    - 其他专利权和特许权的滩销
    - 计提专用设备折旧
    - 按照借款费用的处理原则可以资本化的利息支出</t>
    <phoneticPr fontId="1" type="noConversion"/>
  </si>
  <si>
    <t>企业在估计无形资产使用寿命应考虑的因素有（）。</t>
    <phoneticPr fontId="1" type="noConversion"/>
  </si>
  <si>
    <t>无形资产相关技术的未来发展趋势的情况</t>
    <phoneticPr fontId="1" type="noConversion"/>
  </si>
  <si>
    <t>使用无形资产生产的产品的筹命周期</t>
    <phoneticPr fontId="1" type="noConversion"/>
  </si>
  <si>
    <t>使用无形资产生产的产品市场需求情况</t>
    <phoneticPr fontId="1" type="noConversion"/>
  </si>
  <si>
    <t>现在或潜在竟争者预期将采取的研发战略</t>
    <phoneticPr fontId="1" type="noConversion"/>
  </si>
  <si>
    <t>选项A：正确
选项B：正确
选项C：正确
选项D：正确
确认无形资产寿命时的考虑因素：
- 法定寿命：受法律保护的限制。
- 经济寿命：可以给企业带来经济利益的年限。
- 考虑因素
 - 运用该资产生产的产品通常的寿命周期、可获得的类似资产使用寿命的信息。
 - 技术、工艺等方面的现实状况及对未来发展趋势的估计。
 - 以该资产生产的产品或提供服务的市场需求情况。
 - 现在或潜在的竟争者预期采取的行动。
 - 为维持该资产产生未来经济利益的能力预期的维护支出，以及企业预计支付有关支出的能力。
 - 对该资产的控制预期，以及对该资产使用的法律或类似限制，如：特许使用期间、租赁期等。
 - 与企的其他资产使用寿命的关联性。</t>
    <phoneticPr fontId="1" type="noConversion"/>
  </si>
  <si>
    <t>如果无形资产的残值重新估计以后高于其账面价值的，则无形资产不再摊销，直至残值降至低于账面价值时再恢复摊销。（）</t>
    <phoneticPr fontId="1" type="noConversion"/>
  </si>
  <si>
    <t xml:space="preserve">2013年1月1日，甲公司某顶特许使用权的原价为960万元，已摊销600万元，已计提减值准备60万元。预计尚可使用年限为2年，预计净残值为零，采用直线法按月滩销。不考虑其他因素，2013年1月甲公司该项特许使用权应摊销的金额为（）万元。
</t>
    <phoneticPr fontId="1" type="noConversion"/>
  </si>
  <si>
    <t>月摊销额：(960-600-60)/24 = 12.5万（应摊销金额 = 成本-净残值-已计提的减值准备）</t>
    <phoneticPr fontId="1" type="noConversion"/>
  </si>
  <si>
    <t>多选题</t>
    <phoneticPr fontId="1" type="noConversion"/>
  </si>
  <si>
    <t>下列各项关于企业无形资产值会计处理的表述中，正确的有（）（2019年）</t>
    <phoneticPr fontId="1" type="noConversion"/>
  </si>
  <si>
    <t>预计残值发生变化的，应对已计提的摊销金额进行调整</t>
    <phoneticPr fontId="1" type="noConversion"/>
  </si>
  <si>
    <t>无形资产预计残值高于其账面价值时，不再摊销</t>
    <phoneticPr fontId="1" type="noConversion"/>
  </si>
  <si>
    <t>资产负债表日应当对无形资产的残值进行复核</t>
    <phoneticPr fontId="1" type="noConversion"/>
  </si>
  <si>
    <t>ACD</t>
    <phoneticPr fontId="1" type="noConversion"/>
  </si>
  <si>
    <t xml:space="preserve">选项A：正确：无形资产的残值一般为0，除非有三方愿意买、或有活跃的市场价。
选项B：预计残值发生变化的，不调整已计提的摊销金额
选项C：正确
选项D：正确
</t>
    <phoneticPr fontId="1" type="noConversion"/>
  </si>
  <si>
    <t>下列关于企业无形资产会计处理的表述中正确的有（）。</t>
    <phoneticPr fontId="1" type="noConversion"/>
  </si>
  <si>
    <t>计提的减值准备在以后会计期间可以转回</t>
    <phoneticPr fontId="1" type="noConversion"/>
  </si>
  <si>
    <t>使用寿命不确定的，不进行摊销</t>
    <phoneticPr fontId="1" type="noConversion"/>
  </si>
  <si>
    <t>使用寿命不确定的，至少应在每年年末进行减值测试</t>
    <phoneticPr fontId="1" type="noConversion"/>
  </si>
  <si>
    <t>使用寿命有限的，摊销方法由年限平均法变更为产量法，按会计估计变更处理</t>
    <phoneticPr fontId="1" type="noConversion"/>
  </si>
  <si>
    <t xml:space="preserve">选项A：非流动资产的减值不能转回。
选项B：正确
选项C：正确
选项D：正确：固定资产/无形资产改变折旧/摊销方法都算是会计估计变更。
</t>
    <phoneticPr fontId="1" type="noConversion"/>
  </si>
  <si>
    <t>甲公司2×17年9月12日，以银行存款440万元购入一项专利权，另支付相关税费为10万元，该无形资产的预计使用年限为10年，假定无残值。2×20年12月31日该无形资产的可收回金额为205万元，原预计使用年限不变。2×21年12月31日该无形资产的可收回金额为68万元，原预计使用年限不变。2×22年6月16日，将该无形资产对外出售，取得价款150万元并收存银行。则甲公司出售此无形资产的利得为（）万元。（CPA难度）</t>
    <phoneticPr fontId="1" type="noConversion"/>
  </si>
  <si>
    <t>- 无形资产成本：440+10 = 450万
- 月摊销额：450÷10÷12 = 3.75万
- 2×20年12月31日账面价值：450-3.75×40 = 300万
- 计提无形减值准备：205-300 = 95万
- 剩余使用年限：80个月
- 月摊销额：205÷80 = 2.5625万
- 2×21年12月31日账面价值：205-2.5625×12 = 174.25万
- 计提无形减值准备：174.25-68 = 106.25万
- 剩余使用年限：68个月
- 月摊销额：68÷68 = 1万
- 2×22年6月16日账面价值：68-1×5 = 63万
- 处置利得：150-63 = 87万</t>
    <phoneticPr fontId="1" type="noConversion"/>
  </si>
  <si>
    <t>无形资产预期不能为企业带来未来经济利益的，企业应当将其账面价值转入当期损益。（）</t>
    <phoneticPr fontId="1" type="noConversion"/>
  </si>
  <si>
    <t xml:space="preserve">无形资产被动处置，按其账面价值：营业外收支
补充：出售无形资产，应将所取得的价款与该无形资产账面价值的差额作为资产处置利得或损失，计入当期损益：资产处置损益
</t>
    <phoneticPr fontId="1" type="noConversion"/>
  </si>
  <si>
    <t>甲公司将其自有写字楼的部分楼层以经营租赁方式对外出租，因自用部分与出租部分不独计量，为此甲公司将该写字楼整体确认为固定资产。（）（2019年）</t>
    <phoneticPr fontId="1" type="noConversion"/>
  </si>
  <si>
    <t>不能从固定资产中单独分离的投资性房地产全部算作固定资产。</t>
    <phoneticPr fontId="1" type="noConversion"/>
  </si>
  <si>
    <t>企业以经营租赁方式租入后再转租给其他单位的土地使用权，不能确认为投资性房地产。（）</t>
    <phoneticPr fontId="1" type="noConversion"/>
  </si>
  <si>
    <t>投资性房地产确认条件：
 - 与该投资性房地产有关的经济利益很可能流入企业。（本题）
 - 该投资性房地产的成本能够可靠地计量。</t>
    <phoneticPr fontId="1" type="noConversion"/>
  </si>
  <si>
    <t>下列顶目中，不属于投资性房地产的是（）</t>
    <phoneticPr fontId="1" type="noConversion"/>
  </si>
  <si>
    <t>出租给子公司的自用写字楼</t>
    <phoneticPr fontId="1" type="noConversion"/>
  </si>
  <si>
    <t>已出租的房屋租赁期届满，收回后继续用于出租但暂时空置</t>
    <phoneticPr fontId="1" type="noConversion"/>
  </si>
  <si>
    <t>房地产开发企业持有并准备增值后出售的建筑物</t>
    <phoneticPr fontId="1" type="noConversion"/>
  </si>
  <si>
    <t>企业持有并准备增值后转让的土地使用权</t>
    <phoneticPr fontId="1" type="noConversion"/>
  </si>
  <si>
    <t>选项A：投资性房地产
选项B：投资性房地产
选项C：存货（开发产品）
选项D：投资性房地产</t>
    <phoneticPr fontId="1" type="noConversion"/>
  </si>
  <si>
    <t>投资性房地产的后续计量由成本模式变为公允价值模式时，其公允价值与账面价值的差额，对企业下列财务报表项目产生影响的有（）。</t>
    <phoneticPr fontId="1" type="noConversion"/>
  </si>
  <si>
    <t xml:space="preserve"> 资本公积</t>
    <phoneticPr fontId="1" type="noConversion"/>
  </si>
  <si>
    <t>盈余公积</t>
    <phoneticPr fontId="1" type="noConversion"/>
  </si>
  <si>
    <t>其他综合收益</t>
    <phoneticPr fontId="1" type="noConversion"/>
  </si>
  <si>
    <t>未分配利润</t>
    <phoneticPr fontId="1" type="noConversion"/>
  </si>
  <si>
    <t>BD</t>
    <phoneticPr fontId="1" type="noConversion"/>
  </si>
  <si>
    <t>成本模式转为公允价值模式：差额调整留存收益：`盈余公积、利润分配——未分配利润`</t>
    <phoneticPr fontId="1" type="noConversion"/>
  </si>
  <si>
    <t>企业对采用成本模式计量的投资性房地产进行再开发，且将来仍作为投资性房地产的，再开发期间应当对该资产继续计提折旧或摊。 （）</t>
    <phoneticPr fontId="1" type="noConversion"/>
  </si>
  <si>
    <t>类似固定资产，开发期间计入“投资性房地产——在建”不折旧或摊销。</t>
    <phoneticPr fontId="1" type="noConversion"/>
  </si>
  <si>
    <t>2011年7月1日，甲公司将一项按照成本模式进行后续计量的投资性房地产转换为固定资产。该资产在转换前的账面原价为4,000万元，已计提折旧200万元，已计提减值准备100万元，转换日的公允价值为3850万元，假定不考虑其他因素，转换日甲公司应借记"固定资产“科目的金额为（）万元。</t>
    <phoneticPr fontId="1" type="noConversion"/>
  </si>
  <si>
    <t>注意看清题目：
 - 应借记"固定资产“科目的金额：4000万
 - 应贷记"累计折旧“科目的金额：200万
 - 应贷记"固定资产减值准备“科目的金额：100万</t>
    <phoneticPr fontId="1" type="noConversion"/>
  </si>
  <si>
    <t>下列关于企业投资性房地产会计处理的表述中，正确的有（）。</t>
    <phoneticPr fontId="1" type="noConversion"/>
  </si>
  <si>
    <t>自行建造的投资性房地产，按达到预定可使用状态前所发生的必要支出进行初始计量</t>
    <phoneticPr fontId="1" type="noConversion"/>
  </si>
  <si>
    <t>以成本模式进行后续计量的投资性房地产，计提的减值准备以后会计期间可以转回</t>
    <phoneticPr fontId="1" type="noConversion"/>
  </si>
  <si>
    <t>投资性房地产后续计量由成本模式转为公允价值模式时，其公允价值与账面价值的差额应计入当期损益</t>
    <phoneticPr fontId="1" type="noConversion"/>
  </si>
  <si>
    <t>满足投资性房地产确认条件的后续支出，应予以资本化</t>
    <phoneticPr fontId="1" type="noConversion"/>
  </si>
  <si>
    <t>AD</t>
    <phoneticPr fontId="1" type="noConversion"/>
  </si>
  <si>
    <t>选项A：正确
选项B：非流动资产的减值不可转回。
选项C：应计入调整留存收益。
选项D：正确</t>
    <phoneticPr fontId="1" type="noConversion"/>
  </si>
  <si>
    <t>企业将自用房地产转换为以公允价值模式计量的投资性房地产时，转换日的公允价值与原账面价值的差额，可能影晌的财务报表顶目有（）。（2019年）（每年必考）</t>
    <phoneticPr fontId="1" type="noConversion"/>
  </si>
  <si>
    <t>资本公积</t>
    <phoneticPr fontId="1" type="noConversion"/>
  </si>
  <si>
    <t>公允价值变动收益</t>
    <phoneticPr fontId="1" type="noConversion"/>
  </si>
  <si>
    <t>投资收益</t>
    <phoneticPr fontId="1" type="noConversion"/>
  </si>
  <si>
    <t>BC</t>
    <phoneticPr fontId="1" type="noConversion"/>
  </si>
  <si>
    <t>将固定资产转为公允价值模式的投资性房地产时：
 - 借差：`公允价值变动损益`（转换损失）
 - 贷差：`其他综合收益`（转换收益）</t>
    <phoneticPr fontId="1" type="noConversion"/>
  </si>
  <si>
    <t>企业将自用房地产转为以公允价值模式计量的投资性房地产。下列关于转换日该房地产公允价值小于账面价值的差额的会计处理表述中，正确的是（）。（每年必考）</t>
    <phoneticPr fontId="1" type="noConversion"/>
  </si>
  <si>
    <t>计入递延收益</t>
    <phoneticPr fontId="1" type="noConversion"/>
  </si>
  <si>
    <t>计入当期损益</t>
    <phoneticPr fontId="1" type="noConversion"/>
  </si>
  <si>
    <t>计入其他综合收益</t>
    <phoneticPr fontId="1" type="noConversion"/>
  </si>
  <si>
    <t>计入资本公积</t>
    <phoneticPr fontId="1" type="noConversion"/>
  </si>
  <si>
    <t>自用房地产转换为采用公允价值模式计量的投资性房地产，转换日该房地产公允价值大于账面价值的差额，正确的会计处理是（）。（每年必考）</t>
    <phoneticPr fontId="1" type="noConversion"/>
  </si>
  <si>
    <t>计入期初留存收益</t>
    <phoneticPr fontId="1" type="noConversion"/>
  </si>
  <si>
    <t>计入营业外收入</t>
    <phoneticPr fontId="1" type="noConversion"/>
  </si>
  <si>
    <t>计入公允价值变动损益</t>
    <phoneticPr fontId="1" type="noConversion"/>
  </si>
  <si>
    <t>将固定资产转为公允价值模式的投资性房地产时：
 - 借差：`公允价值变动损益`（转换损失）
 - 贷差：`其他综合收益`（转换收益）</t>
    <phoneticPr fontId="1" type="noConversion"/>
  </si>
  <si>
    <t>设置科目</t>
    <phoneticPr fontId="1" type="noConversion"/>
  </si>
  <si>
    <t>中级财务管理</t>
    <phoneticPr fontId="1" type="noConversion"/>
  </si>
  <si>
    <t>中级经济法</t>
    <phoneticPr fontId="1" type="noConversion"/>
  </si>
  <si>
    <t>考试时间</t>
    <phoneticPr fontId="1" type="noConversion"/>
  </si>
  <si>
    <t>企业对下列资产计提的减值准备在以后期间不可转回的是（）。（2019年）</t>
    <phoneticPr fontId="1" type="noConversion"/>
  </si>
  <si>
    <t>合同资产</t>
    <phoneticPr fontId="1" type="noConversion"/>
  </si>
  <si>
    <t>合同取得成本</t>
    <phoneticPr fontId="1" type="noConversion"/>
  </si>
  <si>
    <t>库存商品</t>
    <phoneticPr fontId="1" type="noConversion"/>
  </si>
  <si>
    <t>长期股权投资</t>
    <phoneticPr fontId="1" type="noConversion"/>
  </si>
  <si>
    <t>下列各项资产中，无论是否出现减值迹象，企业每年年末必须进行减值测试的有（）。（2019年）</t>
    <phoneticPr fontId="1" type="noConversion"/>
  </si>
  <si>
    <t>使用寿命不确定的无形资产</t>
    <phoneticPr fontId="1" type="noConversion"/>
  </si>
  <si>
    <t>使用寿命有限的无形资产</t>
    <phoneticPr fontId="1" type="noConversion"/>
  </si>
  <si>
    <t>商誉</t>
    <phoneticPr fontId="1" type="noConversion"/>
  </si>
  <si>
    <t>为成本模式计量的投资性房地产</t>
    <phoneticPr fontId="1" type="noConversion"/>
  </si>
  <si>
    <t>资产的可收回金额，应当根据资产的公允价值减去处置费用后的净额与资产预计未来现金流量的现值两者之间较低者确定。（）</t>
    <phoneticPr fontId="1" type="noConversion"/>
  </si>
  <si>
    <t>企业在资产减值测试时，下列关于预计资产未来现金流量的表述中正确的有（）。</t>
    <phoneticPr fontId="1" type="noConversion"/>
  </si>
  <si>
    <t>不包括与企业所得税收付有关的现金流量</t>
    <phoneticPr fontId="1" type="noConversion"/>
  </si>
  <si>
    <t>包括处置时取得的净现金流量</t>
    <phoneticPr fontId="1" type="noConversion"/>
  </si>
  <si>
    <t>包括将来可能会发生的尚未做出承诺的重组事项现金流量</t>
    <phoneticPr fontId="1" type="noConversion"/>
  </si>
  <si>
    <t>不包括筹资活动产生的现金流量</t>
    <phoneticPr fontId="1" type="noConversion"/>
  </si>
  <si>
    <t>在资产减值测试中，计算资产未来现金流量现值时所采用的折现率应当是反映当前市场货币时间价值和资产特定风险的税前利率。（）</t>
    <phoneticPr fontId="1" type="noConversion"/>
  </si>
  <si>
    <t>资产负债表日，企业对未来现金流量为外币的固定资产进行减值测试时，应当以资产负债表日的即期汇率对未来外币现金流量的现值进行折算。（）（2019年）</t>
    <phoneticPr fontId="1" type="noConversion"/>
  </si>
  <si>
    <t>2016年12月20日，甲公司以4800万元购入一台设备并立即投入使用，预计使用年限为10年预计净残值为零，按年限平均法计提折旧。2017年12月31日，该设备出现减值迹象，甲公司预该设备的公允价值减去处置费用后的净额为3900万元，未来现金流量的现值为3950万元。不考虑增值税等相关税费及其他因素，2017年12月31日甲公司应为该设备计提减值准备的金额为（）万元。</t>
    <phoneticPr fontId="1" type="noConversion"/>
  </si>
  <si>
    <t>下列关于资产减值测试时认定资产组的表述中，正确的有（）。</t>
    <phoneticPr fontId="1" type="noConversion"/>
  </si>
  <si>
    <t>资产组是企业可以认定的最小资产组合</t>
    <phoneticPr fontId="1" type="noConversion"/>
  </si>
  <si>
    <t>认定资产组应当考虑对资产的持续使用或处置的决策方式</t>
    <phoneticPr fontId="1" type="noConversion"/>
  </si>
  <si>
    <t>认定资产组应当考虑企业管理层管理生产经营活动的方式</t>
    <phoneticPr fontId="1" type="noConversion"/>
  </si>
  <si>
    <t>资产组产生的现金流入应当独立于其他资产或资产组产生的现金流入</t>
    <phoneticPr fontId="1" type="noConversion"/>
  </si>
  <si>
    <t>资产组一经确定，在各个会计期间应当保持一致，不得随意变更。（）</t>
    <phoneticPr fontId="1" type="noConversion"/>
  </si>
  <si>
    <t>包含商誉的资产组发生的减值损失，应按商誉的账面价值和资产组内其他资产账面价值的比例进行分摊。（）（2019年）</t>
    <phoneticPr fontId="1" type="noConversion"/>
  </si>
  <si>
    <t>D</t>
    <phoneticPr fontId="1" type="noConversion"/>
  </si>
  <si>
    <t>涉及资产减值的主要是企业的非流动资产，包括：
 - 对子公司、联营企业、和营企业的长期股权投资
 - 采用成本模式进a行后续计量的投资性房地产
 - 固定资产
 - 无形资产
 - 探明石油天然气矿区权益和井及相关设施等</t>
    <phoneticPr fontId="1" type="noConversion"/>
  </si>
  <si>
    <t>AC</t>
    <phoneticPr fontId="1" type="noConversion"/>
  </si>
  <si>
    <t>至少每年进行减值测试的资产（定期体检）：
 - 因企业合并形成的商誉
 - 使用寿命不确定的无形资产
 - 尚未达到可使用状态的无形资产（即：`研发支出——资本化支出` 的借方余额，在资产负债表中列示于“开发支出”项目）</t>
    <phoneticPr fontId="1" type="noConversion"/>
  </si>
  <si>
    <t>资产可回收金额取两者 `较高者`：
 - ①资产的公允价值减去处置费用后的净额（公允处置净额）
 - ②资产预计未来现金流量的现值</t>
    <phoneticPr fontId="1" type="noConversion"/>
  </si>
  <si>
    <t>预计未来现金流量应当考虑的因素（多选题）
 - 以资产的 `当前状况为基础` 预计资产未来现金流量。
  - 不应当包括（本来就是蒙的不靠谱。把将来的，未承诺的考虑进去更不准了）：：
   - 将来可能会发生的
   - 尚未做出承诺的重组事项
   - 与资产改良有关的预计未来现金流量（改良变成新的资产了，现金流量肯定不一样）
 - 预计资产未来现金流量不应当包括（跟①一致，`不考虑财务费用、所得税费用` ）：
  - 筹资活动有关的现金流量
  - 与所得税收付有关的现金流量
 - 对通货膨胀因素的考虑应当和折现率相一致。
 - 涉及内部转移价格的需要作调整，即调整成公平交易中的公允价格。（一家子内部转移资产，要调成公允价格）</t>
    <phoneticPr fontId="1" type="noConversion"/>
  </si>
  <si>
    <t>×</t>
    <phoneticPr fontId="1" type="noConversion"/>
  </si>
  <si>
    <t>ABD</t>
    <phoneticPr fontId="1" type="noConversion"/>
  </si>
  <si>
    <t>题目说法正确：注意题目最后的“税前利率”。</t>
    <phoneticPr fontId="1" type="noConversion"/>
  </si>
  <si>
    <t>题目说法正确：外币折汇的使用要使用“即期汇率”，即折现时点的汇率，未来的汇率是蒙的不能用！</t>
    <phoneticPr fontId="1" type="noConversion"/>
  </si>
  <si>
    <t>2017年12月31日
- 账面价值：4800×9÷10 = 4320万
- 可收回金额：Max(3900,3950) = 3950万
- 减值：4320-3950 = 370万</t>
    <phoneticPr fontId="1" type="noConversion"/>
  </si>
  <si>
    <t>C</t>
    <phoneticPr fontId="1" type="noConversion"/>
  </si>
  <si>
    <t>ABCD</t>
    <phoneticPr fontId="1" type="noConversion"/>
  </si>
  <si>
    <t>资产组的概念
 - 资产组，是企业可以认定的 `最小资产组合`，其产生的现金流入应当基本上独立于其他资产或者资产组。资产组应当由创造现金流入相关的资产组成。
认定资产组应当考虑的因素
 - 应当以资产组产生的主要现金流入是否独立于其他资产或者资产组的现金流入为依据。（`是否能独立赚钱`）
 - 应当考虑企业管理层对生产经营活动的管理或者监控方式和对资产的持续使用或者处置的决策方式等。（`高层如何管理`）</t>
    <phoneticPr fontId="1" type="noConversion"/>
  </si>
  <si>
    <t>题目说法正确：为了满足会计可比性原则。</t>
    <phoneticPr fontId="1" type="noConversion"/>
  </si>
  <si>
    <t xml:space="preserve">应该先干掉“商誉”，再进行分摊。
减值损失金额应当按照下列顺序进行分摊：
 1. 抵减分摊至资产组中商誉的账面价值。
 2. 然后根据资产组中除商誉之外的 `其他各项资产的账面价值所占比重` ，按比例抵减其他各项资产的账面价值。
  - 递减后，各项资产账面价值不得低于（最高者）：
   - 该资产的公允处置净额（若可确定）
   - 该资产的未来现金流量现值（若可确定）
   - 零
  - 因此而导致的未能分摊的减值损失金额，应当按照相关资产组中 `其他各项资产的账面价值所占比重` 继续进行分摊。
</t>
    <phoneticPr fontId="1" type="noConversion"/>
  </si>
  <si>
    <t>题型名称</t>
    <phoneticPr fontId="1" type="noConversion"/>
  </si>
  <si>
    <t>题型题量</t>
    <phoneticPr fontId="1" type="noConversion"/>
  </si>
  <si>
    <t>每题分值</t>
    <phoneticPr fontId="1" type="noConversion"/>
  </si>
  <si>
    <t>所在题号</t>
    <phoneticPr fontId="1" type="noConversion"/>
  </si>
  <si>
    <t>√</t>
    <phoneticPr fontId="1" type="noConversion"/>
  </si>
  <si>
    <t>×</t>
    <phoneticPr fontId="1" type="noConversion"/>
  </si>
  <si>
    <t>题库：http://tiku.gaodun.com/nexam/zjkjsw</t>
    <phoneticPr fontId="1" type="noConversion"/>
  </si>
  <si>
    <t>甲公司对其购入债券的业务管理模式是以收取合同现金流量为目标。该债券的合同条款规定，在特定日期产生的现金流量，仅为对本金和以未偿还本金金额为基础的利息的支付。不考虑其他因素，甲公司应将该债券投资分类为（）。（2019年）</t>
    <phoneticPr fontId="1" type="noConversion"/>
  </si>
  <si>
    <t>其他货币资金</t>
    <phoneticPr fontId="1" type="noConversion"/>
  </si>
  <si>
    <t>以公允价值计量且其变动计入当期损益的金融资产</t>
    <phoneticPr fontId="1" type="noConversion"/>
  </si>
  <si>
    <t>以公允价值计量目其变动计入其他综合收益的金融资产</t>
    <phoneticPr fontId="1" type="noConversion"/>
  </si>
  <si>
    <t>对于以公允价值计量且变动计入当期损益的金融资产，企业应将相关交易费用直接计入当期损益。（）</t>
    <phoneticPr fontId="1" type="noConversion"/>
  </si>
  <si>
    <t>公允价值是指市场参与者在计量日发生的有序交易中，出售一项资产所能收到或转移一项负债所需支付的价格。（）</t>
    <phoneticPr fontId="1" type="noConversion"/>
  </si>
  <si>
    <t>2017年1月10日，甲公司以银行存款5110万元（含交易费用10万元）购入乙公司股票，将其作为交易性金融资产核算。2017年4月28日，甲公司收到乙公司2017年4月24日宣告分派的现金股利80万元。2017年12月31日甲公司持有的该股票公允价值为5600万元，不考虑其他因素，该项投资使甲公司2017年营业利润增加的金额为（）万元。</t>
    <phoneticPr fontId="1" type="noConversion"/>
  </si>
  <si>
    <t>下列各项关于企业交易性金融资产的会计处理表述中正确的有（）。</t>
    <phoneticPr fontId="1" type="noConversion"/>
  </si>
  <si>
    <t>取得交易性金融资产的手续费，计入投资收益</t>
    <phoneticPr fontId="1" type="noConversion"/>
  </si>
  <si>
    <t>处置时实际收到的金额与交易性金融资产账面价值之间的差额计入当期损益</t>
    <phoneticPr fontId="1" type="noConversion"/>
  </si>
  <si>
    <t>该金融资产的公允价值变动计入投资收益</t>
    <phoneticPr fontId="1" type="noConversion"/>
  </si>
  <si>
    <t>持有交易性金融资产期间享有被投资单位宣告发放的现金股利计入投资收益</t>
    <phoneticPr fontId="1" type="noConversion"/>
  </si>
  <si>
    <t>下列各项中，将影响企业以摊余成本计量的金融资产处置损益的有（）（2019年）</t>
    <phoneticPr fontId="1" type="noConversion"/>
  </si>
  <si>
    <t>卖价</t>
    <phoneticPr fontId="1" type="noConversion"/>
  </si>
  <si>
    <t>账面价值</t>
    <phoneticPr fontId="1" type="noConversion"/>
  </si>
  <si>
    <t>支付给代理机构的佣金</t>
    <phoneticPr fontId="1" type="noConversion"/>
  </si>
  <si>
    <t>缴纳的印花税</t>
    <phoneticPr fontId="1" type="noConversion"/>
  </si>
  <si>
    <t>2017年1月1日，甲公司溢价购入乙公司于当日发行的3年期到期一次还本付息债券，作为债权投资进行核算，并于每年年末支付利息。2017年年末，甲公司按照票面利率确认应计利息590万元，利息调整的摊销额为10万元，甲公司2017年末对该债券投资应确认利息收入的金额是（）万元。</t>
    <phoneticPr fontId="1" type="noConversion"/>
  </si>
  <si>
    <t>2×18年1月1日，甲公司以银行存款1100万元购入乙公司当日发行的5年期债券，该债券的面值为1000万元，票面年利率为10％，每年年末支付当年利息，到期偿还债券面值。甲公司将该债券投资分类为以公允价值计量且其变动计入其他综合收益的金融资产，该债券投资的实际年利率为7.53％。2×18年12月31日，该债券的公允价值为1095万元，预期信用损失为20万元。不考虑其他因素，2×18年12月31日甲公司该债券投资的账面价值为（）万元。（2019年）</t>
    <phoneticPr fontId="1" type="noConversion"/>
  </si>
  <si>
    <t>在特定条件下，企业可以将以公允价值计量且其变动计入当期损益的金融负债重分类为以摊余成本计量的金融负债。（）（2019年）</t>
    <phoneticPr fontId="1" type="noConversion"/>
  </si>
  <si>
    <t>2012年1月1日，甲公司发行分期付息、到期一次还本的5年期公司债券，实际收到的款项为18800万元，该偾券面值总额为18000万元，票面年利率为5％。利息于每年年末支付，实际年利率为4％，2012年12月31日，甲公司该项应付债券的滩余成本为（）万元。</t>
    <phoneticPr fontId="1" type="noConversion"/>
  </si>
  <si>
    <t>D</t>
    <phoneticPr fontId="1" type="noConversion"/>
  </si>
  <si>
    <t>√</t>
    <phoneticPr fontId="1" type="noConversion"/>
  </si>
  <si>
    <t xml:space="preserve">金融资产和金融负债付初始成本：
 - 以公允价值计量且其变动计入当期损益的：公允价值（交易费用计入当期损益）
 - 其他类别的：公允价值（交易费用计成本）
</t>
    <phoneticPr fontId="1" type="noConversion"/>
  </si>
  <si>
    <t>公允价值：市场参与者在计量日发生的有序交易中，出售一项资产所能收到或者转移一项负债所需支付的价格。</t>
    <phoneticPr fontId="1" type="noConversion"/>
  </si>
  <si>
    <t>D</t>
    <phoneticPr fontId="1" type="noConversion"/>
  </si>
  <si>
    <t>投资收益：-10+80 = 70万
公允价值变动损益：5600-5100 = 500万
营业利润增加：70+ 500 = 570万</t>
    <phoneticPr fontId="1" type="noConversion"/>
  </si>
  <si>
    <t>ABD</t>
    <phoneticPr fontId="1" type="noConversion"/>
  </si>
  <si>
    <t>选项A：正确
选项B：正确（计入投资收益）
选项C：应该计入公允价值变动损益
选项D：正确</t>
    <phoneticPr fontId="1" type="noConversion"/>
  </si>
  <si>
    <t>选项A：卖价与账面价值的差计入 投资收益
选项B：卖价与账面价值的差计入 投资收益
选项C：卖价是净额，需要减去各种费用，因此佣金影响。
选项D：卖价是净额，需要减去各种费用，因此印花税影响。</t>
    <phoneticPr fontId="1" type="noConversion"/>
  </si>
  <si>
    <t>ABCD</t>
    <phoneticPr fontId="1" type="noConversion"/>
  </si>
  <si>
    <t>A</t>
    <phoneticPr fontId="1" type="noConversion"/>
  </si>
  <si>
    <t>因为是溢价发行，实际利率&lt;票面利率（不然没人买）
购买时：
借：债权投资——成本 低
贷：银行存款 高
可以得出 债权投资——利息调整 在借方。
之后必然在贷方摊销！
在2017年年末计提利息时：
借：应收利息 590
贷：投资收益 580
    债权投资——利息调整 10</t>
    <phoneticPr fontId="1" type="noConversion"/>
  </si>
  <si>
    <t>其他债权投资的减值不影响公允价值变动，减值计入：其他综合收益</t>
    <phoneticPr fontId="1" type="noConversion"/>
  </si>
  <si>
    <t>题目说法正确。补充：差额进公允价值变动损益。</t>
    <phoneticPr fontId="1" type="noConversion"/>
  </si>
  <si>
    <t>金融负债一经确定，不得变更。</t>
    <phoneticPr fontId="1" type="noConversion"/>
  </si>
  <si>
    <t>B</t>
    <phoneticPr fontId="1" type="noConversion"/>
  </si>
  <si>
    <t>2011年初摊余成本：18800万
实际利息：年初摊余成本18800×实际利率4％ = 752万
票面利息：票面面值18000×票面利率5％ = 900万
2011年末摊余成本：18800+752-900 = 18652万</t>
    <phoneticPr fontId="1" type="noConversion"/>
  </si>
  <si>
    <t>或有应付金额符合或有事项确认负债条件的确认预计负债</t>
  </si>
  <si>
    <t>按暂估价值入账的固定资产在办理竣工结算后，企业应当根据暂估价值与竣工结算价值的差额调整原已计提的折旧金额。（）</t>
  </si>
  <si>
    <t>资产的重置成本是指按照当前市场条件购买相同或者相似资产所需支付的现金或者现金等价物的金额。（）</t>
  </si>
  <si>
    <t>以摊余成本计量的金融资产</t>
  </si>
  <si>
    <t>以摊余成本计量的金融资产：
 - 企业管理该金融资产的业务模式是以收取合同现金流量为目标。（模式1）
 - 该金融资产的合同条款规定，在特定日期产生的现金流量，仅为对本金和以未偿付本金金额为基础的利息的支付。
 - 常设科目：
  - `银行存款`
  - `贷款`
以公允价值计量且变动计入其他综合收益的金融资产：
 - 企业管理该金融资产的业务模式既以收取合同现金流量为目标又以出售该金融资产为目标。（模式2）
  - 该金融资产的合同条款规定，在特定日期产生的现金流量，仅为对本金和以未偿付本金金额为出的利息的支付。
 - 常设科目：`其他债权投资`
- 以公允价值计量且其变动计入当期损益的金融资产：
 - 对于上述2种分类以外的金融资产
 - 常设科目：`交易性金融资产`
  - `应收账款`
  - `债权投资`</t>
  </si>
  <si>
    <t>企业将以摊余成本计量的金融资产重分类为以公允价值计量且变动计入当期损益的金融资产，应当按照该金融资产在重分类日的公允价值进行计量。（）（2019年）</t>
  </si>
  <si>
    <t>企业应遵循持续经营的基本假设，因此，即使判断企业不会持续经营，固定资产就也应采用历史成本进行记录并按期计提折旧，将历史成本分摊到各个会计期间或相关产品的成本中。（）</t>
    <phoneticPr fontId="1" type="noConversion"/>
  </si>
  <si>
    <t>本题考核会计基本假设。如果一个企业在不能持续经营时仍按持续经营基本假设选择会计确认、计量和报告原则与方法，就不能客观地反映企业的财务状况、经营成果和现金流量，会误导会计信息使用者的经济决策。因此，本题说法错误。</t>
    <phoneticPr fontId="1" type="noConversion"/>
  </si>
  <si>
    <t>收付实现制是以收到或支付的现金及其时点作为确认收入和费用等的依据，基本准则明确规定，企业在会计确认、计量和报告中应当以收付实现制为基础。</t>
    <phoneticPr fontId="1" type="noConversion"/>
  </si>
  <si>
    <t>本题考核会计基础。基本准则明确规定，企业在会计确认、计量和报告中应当以权责发生制为基础。</t>
    <phoneticPr fontId="1" type="noConversion"/>
  </si>
  <si>
    <t>企业应当做到包括在财务报告中的会计信息是中立的、无偏的。这反映的是企业会计信息质量要求的（  ）原则。</t>
    <phoneticPr fontId="1" type="noConversion"/>
  </si>
  <si>
    <t>A</t>
    <phoneticPr fontId="1" type="noConversion"/>
  </si>
  <si>
    <t>可靠性</t>
    <phoneticPr fontId="1" type="noConversion"/>
  </si>
  <si>
    <t>实质重于形式</t>
    <phoneticPr fontId="1" type="noConversion"/>
  </si>
  <si>
    <t>可理解性</t>
    <phoneticPr fontId="1" type="noConversion"/>
  </si>
  <si>
    <t>可比性</t>
    <phoneticPr fontId="1" type="noConversion"/>
  </si>
  <si>
    <t>本题考核会计信息质量要求。可靠性要求企业应当以实际发生的交易或事项为依据进行确认、计量和报告。要求包括在财务报告中的会计信息应当是中立的、无偏的。</t>
    <phoneticPr fontId="1" type="noConversion"/>
  </si>
  <si>
    <t>会计信息质量要求中的（  ）原则要求不同企业同一会计期间发生的相同或者相似的交易或者事项，应当采用规定的会计政策。</t>
    <phoneticPr fontId="1" type="noConversion"/>
  </si>
  <si>
    <t>可靠性</t>
    <phoneticPr fontId="1" type="noConversion"/>
  </si>
  <si>
    <t>重要性</t>
    <phoneticPr fontId="1" type="noConversion"/>
  </si>
  <si>
    <t>相关性</t>
    <phoneticPr fontId="1" type="noConversion"/>
  </si>
  <si>
    <t>本题考核会计信息质量要求。会计信息质量的可比性则要求不同企业同一会计期间发生的相同或者相似的交易或者事项，应当采用规定的会计政策，确保会计信息口径一致，相互可比，以使不同企业按照一致的确认、计量和报告要求提供有关会计信息。</t>
    <phoneticPr fontId="1" type="noConversion"/>
  </si>
  <si>
    <t>下列各项中，不符合会计信息质量要求的是（  ）。</t>
    <phoneticPr fontId="1" type="noConversion"/>
  </si>
  <si>
    <t>企业对各项资产计提减值准备</t>
    <phoneticPr fontId="1" type="noConversion"/>
  </si>
  <si>
    <t>企业对单项金额不重大的金融资产合并进行减值测试</t>
    <phoneticPr fontId="1" type="noConversion"/>
  </si>
  <si>
    <t>对于附有追索权的应收票据贴现，取得的款项作为借款处理</t>
    <phoneticPr fontId="1" type="noConversion"/>
  </si>
  <si>
    <t>将投资性房地产的后续计量，由公允价值模式转为成本模式进行计量</t>
    <phoneticPr fontId="1" type="noConversion"/>
  </si>
  <si>
    <t>D</t>
    <phoneticPr fontId="1" type="noConversion"/>
  </si>
  <si>
    <t>本题考核会计信息质量要求。选项A，属于谨慎性原则；选项B，属于重要性原则；选项C，属于实质重于形式原则；选项D，投资性房地产后续不允许从公允价值模式转换为成本模式计量，其不符合会计准则规定，违背了会计信息质量的可比性原则。</t>
    <phoneticPr fontId="1" type="noConversion"/>
  </si>
  <si>
    <t>来源</t>
    <phoneticPr fontId="1" type="noConversion"/>
  </si>
  <si>
    <t>菜子学院</t>
    <phoneticPr fontId="1" type="noConversion"/>
  </si>
  <si>
    <t>高顿</t>
    <phoneticPr fontId="1" type="noConversion"/>
  </si>
  <si>
    <t>下列交易或事项体现会计信息质量要求“实质重于形式”原则的是（  ）。</t>
    <phoneticPr fontId="1" type="noConversion"/>
  </si>
  <si>
    <t>对售出商品可能发生的保修义务确认为预计负债</t>
    <phoneticPr fontId="1" type="noConversion"/>
  </si>
  <si>
    <t>将附有追索权的商业承兑汇票出售确认为质押贷款</t>
    <phoneticPr fontId="1" type="noConversion"/>
  </si>
  <si>
    <t>对发生减值的固定资产计提减值准备</t>
    <phoneticPr fontId="1" type="noConversion"/>
  </si>
  <si>
    <t>企业为确保售出商品的货款到期收回而暂时保留商品的法定所有权，在满足收入确认条件时，确认相关的收入</t>
    <phoneticPr fontId="1" type="noConversion"/>
  </si>
  <si>
    <t>BD</t>
    <phoneticPr fontId="1" type="noConversion"/>
  </si>
  <si>
    <t>本题考核会计信息质量要求。
选项A，体现的是谨慎性原则；
选项B，对附有追索权的商业承兑汇票出售，形式上虽然是出售，但因附有追索权，实质上风险并没有转移，因此，不是真正意义上的出售，应作为质押贷款处理。
选项C，对发生减值的固定资产计提减值准备属于谨慎性原则。
选项D，商品已经售出，但企业为确保到期收回货款而暂时保留商品的法定所有权时，该权利通常不会对客户取得对该商品的控制权构成障碍，在满足收入确认的其他条件时，企业确认相应的收入。
因此，正确答案为选项BD。</t>
    <phoneticPr fontId="1" type="noConversion"/>
  </si>
  <si>
    <t>下列交易或事项符合会计信息质量要求的有（ ）。</t>
    <phoneticPr fontId="1" type="noConversion"/>
  </si>
  <si>
    <t>前期不重大的差错不需要追溯</t>
    <phoneticPr fontId="1" type="noConversion"/>
  </si>
  <si>
    <t>企业对可能发生的资产减值损失计提资产减值准备</t>
    <phoneticPr fontId="1" type="noConversion"/>
  </si>
  <si>
    <t>适度引入公允价值进行核算</t>
    <phoneticPr fontId="1" type="noConversion"/>
  </si>
  <si>
    <t>企业对中期报告不像年报那样披露详细的附注信息</t>
    <phoneticPr fontId="1" type="noConversion"/>
  </si>
  <si>
    <t>ABCD</t>
    <phoneticPr fontId="1" type="noConversion"/>
  </si>
  <si>
    <t>本题考核会计信息质量要求。选项A符合重要性原则；选项B符合谨慎性原则；选项C符合相关性原则；选项D符合重要性原则。</t>
    <phoneticPr fontId="1" type="noConversion"/>
  </si>
  <si>
    <t>谨慎性要求企业对于交易或者事项进行会计确认、计量和报告应当保持应有的谨慎，充分估计到各种风险和损失，不应高估资产或者收益，但应尽量多估计负债和费用。</t>
    <phoneticPr fontId="1" type="noConversion"/>
  </si>
  <si>
    <t>本题考核会计信息质量要求。谨慎性要求企业对于交易或者事项进行会计确认、计量和报告应当保持应有的谨慎，充分估计到各种风险和损失，不应高估资产或者收益，不能低估负债和费用。</t>
    <phoneticPr fontId="1" type="noConversion"/>
  </si>
  <si>
    <t>下列各项中，体现实质重于形式会计信息质量要求的是（   ）。</t>
    <phoneticPr fontId="1" type="noConversion"/>
  </si>
  <si>
    <t>将处置固定资产产生的净损失计入资产处置损益</t>
    <phoneticPr fontId="1" type="noConversion"/>
  </si>
  <si>
    <t>对不存在标的资产的亏损合同确认预计负债</t>
    <phoneticPr fontId="1" type="noConversion"/>
  </si>
  <si>
    <t>对保留商品所有权的商品符合收入确认条件时确认相应的收入</t>
    <phoneticPr fontId="1" type="noConversion"/>
  </si>
  <si>
    <t>对无形资产计提减值准备</t>
    <phoneticPr fontId="1" type="noConversion"/>
  </si>
  <si>
    <t>C</t>
    <phoneticPr fontId="1" type="noConversion"/>
  </si>
  <si>
    <t>本题考核会计信息质量要求中的实质重于形式原则。选项A，处置固定资产的净损失属于非日常活动，应该计入损失，即资产处置损益。选项B，对不存在标的资产的亏损合同确认为预计负债，首先无标的资产不能计提资产减值准备，其次因为是亏损合同所以需要确认预计负债，是谨慎性原则的体现。选项C，对保留商品所有权的商品，虽然从法律形式上来讲企业拥有其所有权，不确认收入，但从经济实质来看，符合收入确认条件时，应确认收入，体现的是实质重于形式原则。 选项D，对无形资产计提减值准备体现的是谨慎性原则。因此，本题正确答案为选项C。</t>
    <phoneticPr fontId="1" type="noConversion"/>
  </si>
  <si>
    <t>企业应当根据其所处环境的实际情况，从项目性质和金额大小两个方面判断会计信息的重要性。（   ）</t>
    <phoneticPr fontId="1" type="noConversion"/>
  </si>
  <si>
    <t>√</t>
    <phoneticPr fontId="1" type="noConversion"/>
  </si>
  <si>
    <t>本题考核重要性原则。
重要性的应用需要依赖职业判断，企业应当根据其所处环境和实际情况，从项目的性质和金额大小两方面加以判断。
本题说法正确。</t>
    <phoneticPr fontId="1" type="noConversion"/>
  </si>
  <si>
    <t>企业为应对市场经济环境下生产经营活动面临的风险和不确定性，应高估负债和费用，低估资产和收益。（    ）</t>
    <phoneticPr fontId="1" type="noConversion"/>
  </si>
  <si>
    <t>本题考核谨慎性原则。
谨慎性要求企业对交易或事项进行会计确认、计量和报告应当保持应有的谨慎性，不应高估资产或者收益、低估负债或者费用。
本题说法错误。</t>
    <phoneticPr fontId="1" type="noConversion"/>
  </si>
  <si>
    <t>下列关于会计信息质量要求的表述中，错误的是（ ）。</t>
    <phoneticPr fontId="1" type="noConversion"/>
  </si>
  <si>
    <t>售后回购在会计上一般不确认收入体现了实质重于形式的要求</t>
    <phoneticPr fontId="1" type="noConversion"/>
  </si>
  <si>
    <t>企业会计政策不得随意变更体现了可比性的要求</t>
    <phoneticPr fontId="1" type="noConversion"/>
  </si>
  <si>
    <t>避免企业出现提供会计信息的成本大于收益的情况体现了重要性的要求</t>
    <phoneticPr fontId="1" type="noConversion"/>
  </si>
  <si>
    <t>适度高估负债和费用，低估资产和收入体现了谨慎性的要求</t>
    <phoneticPr fontId="1" type="noConversion"/>
  </si>
  <si>
    <t>D</t>
    <phoneticPr fontId="1" type="noConversion"/>
  </si>
  <si>
    <t>本题考核会计信息质量要求。
谨慎性要求企业对交易或事项进行会计确认、计量和报告应当保持应有的谨慎，不应高估资产或收益，不应低估负债或费用。</t>
    <phoneticPr fontId="1" type="noConversion"/>
  </si>
  <si>
    <t>甲公司销售乙产品，同时对售后3年内因产品质量问题承担免费保修义务。有关产品更换或修理至达到正常使用状态的支出由甲公司负担，2×16年，甲公司共销售乙产品1000件，根据历史经验估计，因履行售后保修承诺预计将发生的支出为600万元，甲公司确认了销售费用，同时确认为预计负债。甲公司该会计处理体现的会计信息质量要求是（  ）。</t>
    <phoneticPr fontId="1" type="noConversion"/>
  </si>
  <si>
    <t>可比性</t>
    <phoneticPr fontId="1" type="noConversion"/>
  </si>
  <si>
    <t>谨慎性</t>
    <phoneticPr fontId="1" type="noConversion"/>
  </si>
  <si>
    <t>及时性</t>
    <phoneticPr fontId="1" type="noConversion"/>
  </si>
  <si>
    <t>C</t>
    <phoneticPr fontId="1" type="noConversion"/>
  </si>
  <si>
    <t>本题考核会计信息质量要求谨慎性要求。
 甲公司根据预计可能承担的保修义务确认预计负债，体现的是谨慎性原则。</t>
    <phoneticPr fontId="1" type="noConversion"/>
  </si>
  <si>
    <t>甲公司在编制2×17年度财务报表时，发现2×16年度某项管理用无形资产未摊销，应摊销金额20万元，甲公司将该20万元补记的摊销额计入了2×17年度的管理费用。甲公司2×16年和2×17年实现的净利润分别为20000万元和18000万元。不考虑其他因素，甲公司上述会计处理体现的会计信息质量要求是（   ）。</t>
    <phoneticPr fontId="1" type="noConversion"/>
  </si>
  <si>
    <t>A</t>
    <phoneticPr fontId="1" type="noConversion"/>
  </si>
  <si>
    <t>本题考核会计信息质量要求重要性要求。
2×16年发生的费用没有入账，属于会计差错，同时补记金额相对于2×16年和2×17年实现的净利润而言整体影响不大，作为不重大的前期差错处理，因此题中在2×17年确认为当期管理费用，体现的是重要性原则。</t>
    <phoneticPr fontId="1" type="noConversion"/>
  </si>
  <si>
    <t>企业根据售出商品可能发生的保修义务确认预计负债，体现了实质重于形式的会计信息质量要求。( ）</t>
    <phoneticPr fontId="1" type="noConversion"/>
  </si>
  <si>
    <t>本题考核谨慎性。企业根据售出商品可能发生的保修义务确认预计负债，体现了谨慎性的会计信息质量要求。所以，本题表述错误。</t>
    <phoneticPr fontId="1" type="noConversion"/>
  </si>
  <si>
    <t>企业取得或制造某项财产物资时所实际支付的现金或其他等价物，属于（  ）会计要素计量属性。</t>
    <phoneticPr fontId="1" type="noConversion"/>
  </si>
  <si>
    <t>公允价值</t>
    <phoneticPr fontId="1" type="noConversion"/>
  </si>
  <si>
    <t>重置成本</t>
    <phoneticPr fontId="1" type="noConversion"/>
  </si>
  <si>
    <t>现值</t>
    <phoneticPr fontId="1" type="noConversion"/>
  </si>
  <si>
    <t>历史成本</t>
    <phoneticPr fontId="1" type="noConversion"/>
  </si>
  <si>
    <t>本题考核会计要素计量属性。历史成本又称实际成本，是指取得或制造某项财产物资时所实际支付的现金或其他等价物。</t>
    <phoneticPr fontId="1" type="noConversion"/>
  </si>
  <si>
    <t>下列交易或事项会使企业所有者权益发生增减变动的是（  ）。</t>
    <phoneticPr fontId="1" type="noConversion"/>
  </si>
  <si>
    <t>发放股票股利</t>
    <phoneticPr fontId="1" type="noConversion"/>
  </si>
  <si>
    <t>宣告分配现金股利</t>
    <phoneticPr fontId="1" type="noConversion"/>
  </si>
  <si>
    <t>销售商品取得收入</t>
    <phoneticPr fontId="1" type="noConversion"/>
  </si>
  <si>
    <t>企业向银行借入款项</t>
    <phoneticPr fontId="1" type="noConversion"/>
  </si>
  <si>
    <t>BC</t>
    <phoneticPr fontId="1" type="noConversion"/>
  </si>
  <si>
    <t>本题考核所有者权益的计量。选项A属于所有者权益内部增减变动；选项D资产和负债发生变动，所有者权益不变；选项BC会影响未分配利润，从而导致企业所有者权益发生增减变动。</t>
    <phoneticPr fontId="1" type="noConversion"/>
  </si>
  <si>
    <t>企业与客户之间的合同同时满足（   ）条件时，企业应当在客户取得相关商品或服务控制权时确认收入：</t>
    <phoneticPr fontId="1" type="noConversion"/>
  </si>
  <si>
    <t>合同各方已批准合同并承诺将履行各自义务</t>
    <phoneticPr fontId="1" type="noConversion"/>
  </si>
  <si>
    <t>该合同明确了合同各方与所转让商品或提供劳务相关的权利和义务</t>
    <phoneticPr fontId="1" type="noConversion"/>
  </si>
  <si>
    <t>该合同有明确的与所转让商品提供劳务相关的支付条款</t>
    <phoneticPr fontId="1" type="noConversion"/>
  </si>
  <si>
    <t>向客户转让商品或提供劳务而有权取得的对价很可能收回，无论该合同是否具有商业性质</t>
    <phoneticPr fontId="1" type="noConversion"/>
  </si>
  <si>
    <t>ABC</t>
    <phoneticPr fontId="1" type="noConversion"/>
  </si>
  <si>
    <t>企业与客户之间的合同同时满足下列条件，企业应当在客户取得相关商品或劳务控制权时确认收入： 
（1）合同各方已批准该合同并承诺将履行各自义务； 
（2）该合同明确了合同各方与所转让商品或提供劳务相关的权利和义务； 
（3）该合同有明确的与所转让商品提供劳务相关的支付条款； 
（4）该合同具有商业性质，即履行该合同将改变企业未来现金流量的风险、时间分布或金额； 
（5）企业因向客户转让商品或提供劳务而有权取得的对价很可能收回。 
选项D错误，因此正确答案为选项ABC。</t>
    <phoneticPr fontId="1" type="noConversion"/>
  </si>
  <si>
    <t>可计量性是所有会计要素确认的重要前提。</t>
    <phoneticPr fontId="1" type="noConversion"/>
  </si>
  <si>
    <t>本题考核会计要素的确认。可计量性是所有会计要素确认的重要前提。</t>
    <phoneticPr fontId="1" type="noConversion"/>
  </si>
  <si>
    <t>所有者权益的确认主要依赖于其他会计要素，尤其是资产和负债的确认。</t>
    <phoneticPr fontId="1" type="noConversion"/>
  </si>
  <si>
    <t>本题考核所有者权益的确认条件。教材原文。所有者权益体现的是所有者在企业中的剩余权益，因此，所有者权益的确认主要依赖于其他会计要素，尤其是资产和负债的确认；所有者权益金额的确定也主要取决于资产和负债的计量。因此，本题说法正确。</t>
    <phoneticPr fontId="1" type="noConversion"/>
  </si>
  <si>
    <t>负债必须是企业承担的现时义务和法定义务，不包括未来发生的交易或事项形成的义务和推定义务。</t>
    <phoneticPr fontId="1" type="noConversion"/>
  </si>
  <si>
    <t>本题考核负债的定义。负债必须是企业承担的现时义务，这里的现时义务是指企业在现行条件下已承担的义务，未来发生的交易或者事项形成的义务，不属于现时义务，不应当确认为负债。这里所指的义务可以是法定义务，【也可以是推定义务】。</t>
    <phoneticPr fontId="1" type="noConversion"/>
  </si>
  <si>
    <t>与收入相关的经济利益的流入应当会导致所有者权益的增加，因此，只要导致所有者权益增加的经济利益的流入就应确认为收入。</t>
    <phoneticPr fontId="1" type="noConversion"/>
  </si>
  <si>
    <t>本题考核会计要素的确认与计量。与收入相关的经济利益的流入应当会导致所有者权益的增加，不会导致所有者权益增加的经济利益的流入不符合收入的定义，不应确认为收入。在实务中，经济利益的流入有时是所有者投入资本的增加所导致的，所有者投入资本的增加不应当确认为收入，而应当将其直接确认为所有者权益。因此，本题说法错误。</t>
    <phoneticPr fontId="1" type="noConversion"/>
  </si>
  <si>
    <t>企业非日常活动所形成的经济利益的流出不能确认为费用。</t>
    <phoneticPr fontId="1" type="noConversion"/>
  </si>
  <si>
    <t>本题考核费用的确认条件。费用，是指企业在日常活动中发生的、会导致所有者权益减少的、与向所有者分配利润无关的经济利益的总流出。因此，非日常活动所形成的经济利益的流出不属于费用，应当确认为损失。</t>
    <phoneticPr fontId="1" type="noConversion"/>
  </si>
  <si>
    <t>负债应按照其因承担现时义务而计划收到的款项或者资产的金额计量。</t>
    <phoneticPr fontId="1" type="noConversion"/>
  </si>
  <si>
    <t>本题考核负债的计量。负债按照其因承担现时义务而【实际】收到的款项或者资产的金额，或者承担现时义务的合同金额，或者按照日常活动中为偿还负债预期需要支付的现金或者现金等价物的金额计量。</t>
    <phoneticPr fontId="1" type="noConversion"/>
  </si>
  <si>
    <t>下列各项中，影响当期损益的有（  ）。</t>
    <phoneticPr fontId="1" type="noConversion"/>
  </si>
  <si>
    <t>无法支付的应付款项</t>
    <phoneticPr fontId="1" type="noConversion"/>
  </si>
  <si>
    <t>因产品质量保证确认的预计负债</t>
    <phoneticPr fontId="1" type="noConversion"/>
  </si>
  <si>
    <t xml:space="preserve"> </t>
    <phoneticPr fontId="1" type="noConversion"/>
  </si>
  <si>
    <t>研发项目在研究阶段发生的支出</t>
    <phoneticPr fontId="1" type="noConversion"/>
  </si>
  <si>
    <t>其他权益工具投资公允价值的增加</t>
    <phoneticPr fontId="1" type="noConversion"/>
  </si>
  <si>
    <t>ABC</t>
    <phoneticPr fontId="1" type="noConversion"/>
  </si>
  <si>
    <t>本题考核当期损益的影响因素。
无法支付的应付款项应计入营业外收入，选项 A 正确；
因产品质量保证确认的预计负债计入销售费用，选项 B 正确；
研发项目在研究阶段发生的支出计入管理费用，选项 C 正确；
其他权益工具投资公允价值的增加计入其他综合收益（属于所有者权益），不影响损益，选项 D 错误。</t>
    <phoneticPr fontId="1" type="noConversion"/>
  </si>
  <si>
    <t>会计计量是为了将符合确认条件的会计要素登记入账，并列报于财务报表而确定其金额的过程。(     )</t>
    <phoneticPr fontId="1" type="noConversion"/>
  </si>
  <si>
    <t>本题考核会计计量的内容。
会计计量是为了将符合确认条件的会计要素登记入账，并列报于财务报表而确定其金额的过程。企业应当按照规定的会计计量属性进行计量，确定相关金额。
本题说法正确。</t>
    <phoneticPr fontId="1" type="noConversion"/>
  </si>
  <si>
    <t>如果企业资产按照购买时所付出的对价的公允价值计量，负债按照承担现时义务的合同金额计量，则其所采用的会计计量属性为（ ）。</t>
    <phoneticPr fontId="1" type="noConversion"/>
  </si>
  <si>
    <t>重置成本</t>
    <phoneticPr fontId="1" type="noConversion"/>
  </si>
  <si>
    <t>可变现净值</t>
    <phoneticPr fontId="1" type="noConversion"/>
  </si>
  <si>
    <t>历史成本</t>
    <phoneticPr fontId="1" type="noConversion"/>
  </si>
  <si>
    <t>D</t>
    <phoneticPr fontId="1" type="noConversion"/>
  </si>
  <si>
    <t>本题考核会计要素的计量属性。
在历史成本下，企业资产按照购买时所付出的对价的公允价值计量，负债按照承担现时义务的合同金额计量。</t>
    <phoneticPr fontId="1" type="noConversion"/>
  </si>
  <si>
    <t>下列项目中，可能引起企业留存收益总额发生增减变动的有（ ）。</t>
    <phoneticPr fontId="1" type="noConversion"/>
  </si>
  <si>
    <t>用上一年实现的净利润分配现金股利</t>
    <phoneticPr fontId="1" type="noConversion"/>
  </si>
  <si>
    <t>用盈余公积转增股本</t>
    <phoneticPr fontId="1" type="noConversion"/>
  </si>
  <si>
    <t>用盈余公积弥补亏损</t>
    <phoneticPr fontId="1" type="noConversion"/>
  </si>
  <si>
    <t>本题考核有关留存收益的会计处理。
选项D，为同时导致盈余公积和未分配利润变动的事项，留存收益总额不变。</t>
    <phoneticPr fontId="1" type="noConversion"/>
  </si>
  <si>
    <t>下列各项业务中，能使企业资产和所有者权益总额同时增加的有（　　）。</t>
    <phoneticPr fontId="1" type="noConversion"/>
  </si>
  <si>
    <t>将公允价值大于账面价值的自用房地产转换为采用公允价值模式计量的投资性房地产</t>
    <phoneticPr fontId="1" type="noConversion"/>
  </si>
  <si>
    <t>确认持有的交易性金融资产期末公允价值低于账面价值的差额</t>
    <phoneticPr fontId="1" type="noConversion"/>
  </si>
  <si>
    <t>盘盈一项固定资产</t>
    <phoneticPr fontId="1" type="noConversion"/>
  </si>
  <si>
    <t>期末计提长期借款的利息</t>
    <phoneticPr fontId="1" type="noConversion"/>
  </si>
  <si>
    <t>AC</t>
    <phoneticPr fontId="1" type="noConversion"/>
  </si>
  <si>
    <t>本题考核会计要素的计量。
选项A，资产与所有者权益同时增加；
       借：投资性房地产——成本
       　　累计折旧
       贷：固定资产
       　　其他综合收益
选项B，资产与所有者权益同时减少；
       借：公允价值变动损益
       贷：交易性金融资产——公允价值变动
       借：本年利润
       贷：公允价值变动损益
选项C，资产与所有者权益同时增加；
       借：固定资产
       贷：以前年度损益调整
       借：以前年度损益调整
       贷：利润分配—未分配利润
选项D，所有者权益减少，负债增加，或资产与负债同时增加。
       借：财务费用
              在建工程
       贷：长期借款——利息调整
               应付利息</t>
    <phoneticPr fontId="1" type="noConversion"/>
  </si>
  <si>
    <t>下列各项不属于所有者权益类科目的有（ ）</t>
    <phoneticPr fontId="1" type="noConversion"/>
  </si>
  <si>
    <t>其他综合收益</t>
    <phoneticPr fontId="1" type="noConversion"/>
  </si>
  <si>
    <t>其他收益</t>
    <phoneticPr fontId="1" type="noConversion"/>
  </si>
  <si>
    <t>其他权益工具投资</t>
    <phoneticPr fontId="1" type="noConversion"/>
  </si>
  <si>
    <t>盈余公积</t>
    <phoneticPr fontId="1" type="noConversion"/>
  </si>
  <si>
    <t>BC</t>
    <phoneticPr fontId="1" type="noConversion"/>
  </si>
  <si>
    <t>本题考核资产负债表中所有者权益的构成项目。资产负债表中所有者权益项目包括：实收资本（股本）、资本公积、盈余公积、未分配利润、其他综合收益、其他权益工具等。选项B其他收益属于损益类科目，选项C其他权益工具投资属于资产类科目。</t>
    <phoneticPr fontId="1" type="noConversion"/>
  </si>
  <si>
    <t>下列交易事项中，能够引起资产和所有者权益同时发生增减变动的有(  )。</t>
    <phoneticPr fontId="1" type="noConversion"/>
  </si>
  <si>
    <t>分配股票股利</t>
    <phoneticPr fontId="1" type="noConversion"/>
  </si>
  <si>
    <t>接受现金捐赠</t>
    <phoneticPr fontId="1" type="noConversion"/>
  </si>
  <si>
    <t>接受固定资产的投资</t>
    <phoneticPr fontId="1" type="noConversion"/>
  </si>
  <si>
    <t>以银行存款支付原材料采购价款</t>
    <phoneticPr fontId="1" type="noConversion"/>
  </si>
  <si>
    <t>BC</t>
    <phoneticPr fontId="1" type="noConversion"/>
  </si>
  <si>
    <t>本题考核有关资产和所有者权益的会计处理。
选项A，借记“利润分配”，贷记“股本”，属于所有者权益内部结转，不影响资产；
选项B，借记“库存现金”，贷记“营业外收入”，资产和所有者权益同时增加；
选项C，借记“固定资产”，贷记“实收资本”，资产和所有者权益同时增加；
选项D，借记“原材料”，贷记“银行存款”，属于资产内部增减变动。</t>
    <phoneticPr fontId="1" type="noConversion"/>
  </si>
  <si>
    <t>资产的重置成本是指按照当前市场条件购买相同或者相似资产所需支付的现金或者现金等价物的金额。( )</t>
    <phoneticPr fontId="1" type="noConversion"/>
  </si>
  <si>
    <t>本题考核重置成本的定义。资产的重置成本是指按照当前市场条件购买相同或者相似资产所需支付的现金或者现金等价物的金额。</t>
    <phoneticPr fontId="1" type="noConversion"/>
  </si>
  <si>
    <t>下列各项交易或事项中,将导致企业所有者权益总额变动的有(   )。</t>
    <phoneticPr fontId="1" type="noConversion"/>
  </si>
  <si>
    <t>账面价值与公允价值不同的债权投资重分类为其他债权投资</t>
    <phoneticPr fontId="1" type="noConversion"/>
  </si>
  <si>
    <t>其他债权投资发生减值</t>
    <phoneticPr fontId="1" type="noConversion"/>
  </si>
  <si>
    <t>其他权益工具投资的公允价值发生变动</t>
    <phoneticPr fontId="1" type="noConversion"/>
  </si>
  <si>
    <t>权益法下收到被投资单位发放的现金股利</t>
    <phoneticPr fontId="1" type="noConversion"/>
  </si>
  <si>
    <t>AC</t>
    <phoneticPr fontId="1" type="noConversion"/>
  </si>
  <si>
    <t>本题考核所有者权益的定义及其确认条件。
账面价值与公允价值不同的债权投资重分类为其他债权投资,原账面价值和公允价值之间的差额计入其他综合收益,会影响所有者权益总额，选项A正确；
其他债权投资发生减值,应借记“信用减值损失”，贷记“其他综合收益”，因为损益类科目最后会结转到利润分配，所以不会影响所有者权益总额，选项B错误；
选项C,其他权益工具投资公允价值变动计入其他综合收益,借记“其他权益工具投资-公允价值变动”，贷记“其他综合收益”（或相反分录），会影响所有者权益总额，选项C正确；
权益法下收到被投资单位发放的现金股利，借记“银行存款”,贷记“应收股利”，不影响所有者权益总额。
因此，本题选项A、C正确。</t>
    <phoneticPr fontId="1" type="noConversion"/>
  </si>
  <si>
    <t>企业外购存货发生的支出不应计入存货成本的是（  ）</t>
    <phoneticPr fontId="1" type="noConversion"/>
  </si>
  <si>
    <t>企业采购运输过程中发生的仓储费</t>
    <phoneticPr fontId="1" type="noConversion"/>
  </si>
  <si>
    <t>采购货物发生的消费税</t>
    <phoneticPr fontId="1" type="noConversion"/>
  </si>
  <si>
    <t>小规模纳税人支付的增值税</t>
    <phoneticPr fontId="1" type="noConversion"/>
  </si>
  <si>
    <t>采购过程中因管理不善造成的损失</t>
    <phoneticPr fontId="1" type="noConversion"/>
  </si>
  <si>
    <t>本题考核存货的初始计量。外购存货采购过程中发生的不合理损耗不应计入存货采购成本，因管理不善造成的存货采购损失，应计入“管理费用”。</t>
    <phoneticPr fontId="1" type="noConversion"/>
  </si>
  <si>
    <t xml:space="preserve"> A公司为增值税一般纳税人，适用的增值税税率为13%。2×19年10月，A公司购买甲产品支付购买价款500万元，增值税税额65万元。甲产品运输过程中发生运费10万元，增值税税额1万元；运输途中发生仓储费2万元。验收入库时，发现发生损耗1万元，其中0.8万元为合理损耗，0.2万元系管理人员管理不善导致，甲产品的入账成本为（  ）万元。</t>
    <phoneticPr fontId="1" type="noConversion"/>
  </si>
  <si>
    <t>D</t>
    <phoneticPr fontId="1" type="noConversion"/>
  </si>
  <si>
    <t>本题考核存货的初始计量。甲产品的入账成本=500+10+2-0.2=511.8（万元）。 增值税进项税额可以抵扣，不计入存货成本；合理损耗，应计入存货成本；管理不善导致的存货损失，能分清责任人的，由责任人赔偿，否则计入“管理费用”，不计入存货成本。</t>
    <phoneticPr fontId="1" type="noConversion"/>
  </si>
  <si>
    <t>甲公司为增值税一般纳税人，适用的增值税税率13%。2×19年9月，甲公司向乙公司发出一批原材料，实际成本200万元，增值税税额26万元；委托乙公司代为加工应税消费品，该消费品适用的消费税税率为10%，加工完成收回后全部用于连续生产应税消费品；加工过程中发生加工费10万元，增值税税额1.3万元。不考虑其他因素，该批加工物资收回后，实际成本为（）万元。</t>
    <phoneticPr fontId="1" type="noConversion"/>
  </si>
  <si>
    <t>本题考核存货的初始计量。该批加工物资的实际成本=200+10=210（万元）。委托加工物资收回后用于连续生产应税消费品的，消费税应计入“应交税费——应交消费税”的借方，不计入加工物资的成本。</t>
    <phoneticPr fontId="1" type="noConversion"/>
  </si>
  <si>
    <t>甲公司为增值税一般纳税人，适用的增值税税率13%。2×19年9月，甲公司向乙公司发出一批原材料，实际成本170万元，增值税税额22.1万元；委托乙公司代为加工应税消费品，该消费品适用的消费税税率为10%，加工完成收回后全部直接用于对外销售；加工过程中发生加工费10万元，增值税税额1.3万元。不考虑其他因素，该批加工物资收回后，实际成本为（  ）万元。</t>
    <phoneticPr fontId="1" type="noConversion"/>
  </si>
  <si>
    <t>B</t>
    <phoneticPr fontId="1" type="noConversion"/>
  </si>
  <si>
    <t>本题考核存货的初始计量。受托方代收代缴消费税=[(170+10)/(1-10%)]*10% = 20万元。收回委托加工物资的成本=170+10+20=200万元。</t>
    <phoneticPr fontId="1" type="noConversion"/>
  </si>
  <si>
    <t>下列各项中，应计入资产负债表存货项目的是（）。</t>
    <phoneticPr fontId="1" type="noConversion"/>
  </si>
  <si>
    <t>为外单位加工修理的代修品</t>
    <phoneticPr fontId="1" type="noConversion"/>
  </si>
  <si>
    <t>房地产开发企业为销售目的持有的商品房</t>
    <phoneticPr fontId="1" type="noConversion"/>
  </si>
  <si>
    <t>工程物资</t>
    <phoneticPr fontId="1" type="noConversion"/>
  </si>
  <si>
    <t>委托加工物资</t>
    <phoneticPr fontId="1" type="noConversion"/>
  </si>
  <si>
    <t>ABD</t>
    <phoneticPr fontId="1" type="noConversion"/>
  </si>
  <si>
    <t>本题考核存货的期末计量方法。企业接受外来原材料加工制造的代制品、为外单位加工修理的代修品，制造和修理完成验收入库后应视同企业的产成品，即企业为加工或修理产品发生的材料、人工费等作为企业存货核算。房地产开发企业在正常生产经营过程中销售的以及为销售目的开发的商品房和土地使用权，属于房地产开发企业的存货。工程物资是为了建造或维护固定资产而储备的，其用途与存货不同，并不是为在生产经营过程中的销售或耗用而储备的，所以不属于存货。委托加工物资所有权仍属于本企业，为本企业的存货。</t>
    <phoneticPr fontId="1" type="noConversion"/>
  </si>
  <si>
    <t>对于自行生产的存货，下列各项中，应计入存货成本的是（）。</t>
    <phoneticPr fontId="1" type="noConversion"/>
  </si>
  <si>
    <t>投入的半成品</t>
    <phoneticPr fontId="1" type="noConversion"/>
  </si>
  <si>
    <t>直接人工</t>
    <phoneticPr fontId="1" type="noConversion"/>
  </si>
  <si>
    <t>企业生产车间的固定资产折旧费</t>
    <phoneticPr fontId="1" type="noConversion"/>
  </si>
  <si>
    <t>生产车间修理期间的停工损失</t>
    <phoneticPr fontId="1" type="noConversion"/>
  </si>
  <si>
    <t>本题考核存货的初始计量。折旧费和停工损失计入制造费用，分配后计入存货成本。</t>
    <phoneticPr fontId="1" type="noConversion"/>
  </si>
  <si>
    <t>ABCD</t>
    <phoneticPr fontId="1" type="noConversion"/>
  </si>
  <si>
    <t>投资者投入存货的成本，应当按照投资合同或协议约定的价值确定。</t>
    <phoneticPr fontId="1" type="noConversion"/>
  </si>
  <si>
    <t>本题考核存货的初始计量。投资者投入存货的成本，应当按照投资合同或协议约定的价值确定，不公允的除外。</t>
    <phoneticPr fontId="1" type="noConversion"/>
  </si>
  <si>
    <t>需要经过加工的材料，其可变现净值应以该材料所生产的产成品的估计售价减去至完工时估计将要发生的成本、销售该材料估计将要发生的销售费用以及相关税费后的金额确定。</t>
    <phoneticPr fontId="1" type="noConversion"/>
  </si>
  <si>
    <t>本题考核存货的期末计量。需要经过加工的材料，其可变现净值应以该材料所生产的产成品的估计售价减去至完工时估计将要发生的成本、销售该产品估计将要发生的销售费用以及相关税费后的金额确定。</t>
    <phoneticPr fontId="1" type="noConversion"/>
  </si>
  <si>
    <t>甲公司系增值税一般纳税人，2×19 年5月2 购买 W 商品1 000 千克，运输途中合理损耗 50 千克，实际入库 950 千克。甲公司取得的增值税专用发票上注明的价款为 95 000 元，增值税税额为12350 元。不考虑其他因素，甲公司入库 W 商品的单位成本为（   ）元/千克。</t>
    <phoneticPr fontId="1" type="noConversion"/>
  </si>
  <si>
    <t>A</t>
    <phoneticPr fontId="1" type="noConversion"/>
  </si>
  <si>
    <t>本题考核外购存货的初始计量。购买商品运输途中发生的合理损耗不影响购进商品的总成本，所以甲公司入库 W商品的单位成本=95 000/950=100（元/千克）。</t>
    <phoneticPr fontId="1" type="noConversion"/>
  </si>
  <si>
    <t>甲公司增值税一般纳税人。20×9年 6 月 1 日，甲公司购买 Y 产品获得的增值税专用发票上注明的价款为 450 万元，增值税税额为 58.5万元。甲公司另支付不含增值税的装卸费 7.5 万元，不考虑其他因素。甲公司购买 Y 产品的成本为（ ）万元。</t>
    <phoneticPr fontId="1" type="noConversion"/>
  </si>
  <si>
    <t>B</t>
    <phoneticPr fontId="1" type="noConversion"/>
  </si>
  <si>
    <t>本题考核外购存货的初始计量。甲公司购买 Y 产品的成本=450+7.5=457.5（万元），一般纳税人增值税进项税额可以抵扣，不计入产品的采购成本。</t>
    <phoneticPr fontId="1" type="noConversion"/>
  </si>
  <si>
    <t>企业为外购货物发生的下列各项支出中，应计入存货成本的有 (     )。</t>
    <phoneticPr fontId="1" type="noConversion"/>
  </si>
  <si>
    <t>入库前的挑选整理费</t>
    <phoneticPr fontId="1" type="noConversion"/>
  </si>
  <si>
    <t>运输途中的合理损耗</t>
    <phoneticPr fontId="1" type="noConversion"/>
  </si>
  <si>
    <t>不能抵扣的增值税进项税额</t>
    <phoneticPr fontId="1" type="noConversion"/>
  </si>
  <si>
    <t>运输途中因自然灾害发生的损失</t>
    <phoneticPr fontId="1" type="noConversion"/>
  </si>
  <si>
    <t>ABC</t>
    <phoneticPr fontId="1" type="noConversion"/>
  </si>
  <si>
    <t>本题考核外购存货成本的构成。
选项D运输途中因自然灾害发生的损失(非正常损失)和尚待查明原因的途中损耗，不得增加物资的采购成本，也就不能计入存货的成本，应暂作为待处理财产损溢进行核算，在查明原因后再作处理。</t>
    <phoneticPr fontId="1" type="noConversion"/>
  </si>
  <si>
    <t>甲公司为增值税一般纳税人。20×9年4月1日，甲公司发出一批实际成本为240万元的原材料，委托乙公司加工应税消费品，收回后直接对外出售。20×9年5月30日，甲公司收回乙公司加工的应税消费品并验收入库。甲公司根据乙公司开具的增值税专用发票向乙公司支付加工费12万元、增值税1.56万元，另支付消费税28万。假定不考虑其他因素，甲公司收回该批应税消费品的入账价值为（ ）万元。</t>
    <phoneticPr fontId="1" type="noConversion"/>
  </si>
  <si>
    <t>本题考核委托加工存货收回的会计处理。
委托加工物资收回后继续生产应税消费品时，消费税不计入收回物资的成本，计入“应交税费——应交消费税”科目。如果用于直接出售或者是生产非应税消费品，消费税计入收回物资成本。甲公司收回应税消费品的入账价值＝240＋12＋28＝280（万元）。</t>
    <phoneticPr fontId="1" type="noConversion"/>
  </si>
  <si>
    <t>企业委托加工一批非金银首饰的应税消费品，收回后直接用于销售。不考虑其他因素。下列各项中，应当计入收回物资的加工成本的有（   ）。</t>
    <phoneticPr fontId="1" type="noConversion"/>
  </si>
  <si>
    <t>委托加工耗用原材料的实际成本</t>
    <phoneticPr fontId="1" type="noConversion"/>
  </si>
  <si>
    <t>收回委托加工时支付的运杂费</t>
    <phoneticPr fontId="1" type="noConversion"/>
  </si>
  <si>
    <t>支付给受托方的由其代收代缴的消费税</t>
    <phoneticPr fontId="1" type="noConversion"/>
  </si>
  <si>
    <t>支付的加工费</t>
    <phoneticPr fontId="1" type="noConversion"/>
  </si>
  <si>
    <t>ABCD</t>
    <phoneticPr fontId="1" type="noConversion"/>
  </si>
  <si>
    <t>本题考核委托加工存货成本的确定。委托外单位加工完成的存货，收回后直接用于销售的，以实际耗用的原材料或半成品、加工费、运输费、装卸费等费用以及按规定应计入成本的税金，作为实际成本。</t>
    <phoneticPr fontId="1" type="noConversion"/>
  </si>
  <si>
    <t>企业通过提供劳务取得存货的成本，按提供劳务人员的直接人工和其他直接费用以及可归属于该存货的间接费用确定。(　　)</t>
    <phoneticPr fontId="1" type="noConversion"/>
  </si>
  <si>
    <t>本题考核通过劳务取得存货的成本的确定。通过提供劳务取得的存货，其成本按从事劳务提供人员的直接人工和其他直接费用以及可归属于该存货的间接费用确定。</t>
    <phoneticPr fontId="1" type="noConversion"/>
  </si>
  <si>
    <t>甲公司系增值税一般纳税人，2019年8月购入丙材料100吨，增值税专用发票上注明的价款为500万元、增值税税额为65万元；从外地购入时发生装卸费用10万元（不含税），丙材料运抵公司后，实际验收入库97吨，经查明，运输途中发生合理损耗1吨，非正常损耗2吨，则甲公司该批丙材料的入账价值为（　　）万元。</t>
    <phoneticPr fontId="1" type="noConversion"/>
  </si>
  <si>
    <t>A</t>
    <phoneticPr fontId="1" type="noConversion"/>
  </si>
  <si>
    <t>本题考核外购存货入账价值的确定。定额内合理的途中损耗，计入材料的采购成本。甲公司该批丙材料的入账价值=（500+10）/100×98=499.8（万元）。计入管理费用=（500+10）/100×2=10.2（万元）。</t>
    <phoneticPr fontId="1" type="noConversion"/>
  </si>
  <si>
    <t>委托方将委托加工应税消费品收回后用于非应消费税项目，则委托方应将受托方代收代缴的消费税计入（  ）。</t>
    <phoneticPr fontId="1" type="noConversion"/>
  </si>
  <si>
    <t>其他业务成本</t>
    <phoneticPr fontId="1" type="noConversion"/>
  </si>
  <si>
    <t>应交税费——应交消费税</t>
    <phoneticPr fontId="1" type="noConversion"/>
  </si>
  <si>
    <t>收回的委托加工物资的成本</t>
    <phoneticPr fontId="1" type="noConversion"/>
  </si>
  <si>
    <t>管理费用</t>
    <phoneticPr fontId="1" type="noConversion"/>
  </si>
  <si>
    <t>本题考核委托加工材料消费税的会计处理。委托加工物资收回后以不高于受托方的计税价格出售的，以及用于非消费税项目的，应将受托方代收代缴的消费税计入委托加工物资成本,借记“委托加工物资”科目，贷记“应付账款”“银行存款”等科目。</t>
    <phoneticPr fontId="1" type="noConversion"/>
  </si>
  <si>
    <t>下列各项中，不应计入存货入账成本的有（  ）。</t>
    <phoneticPr fontId="1" type="noConversion"/>
  </si>
  <si>
    <t>非正常消耗的直接人工和制造费用</t>
    <phoneticPr fontId="1" type="noConversion"/>
  </si>
  <si>
    <t>生产过程中发生的季节性停工损失</t>
    <phoneticPr fontId="1" type="noConversion"/>
  </si>
  <si>
    <t>原材料在投入使用前发生的一般仓储费用</t>
    <phoneticPr fontId="1" type="noConversion"/>
  </si>
  <si>
    <t>为特定客户设计产品而支付的设计费</t>
    <phoneticPr fontId="1" type="noConversion"/>
  </si>
  <si>
    <t>AC</t>
    <phoneticPr fontId="1" type="noConversion"/>
  </si>
  <si>
    <t>非正常消耗的直接人工和制造费用计入当期损益，原材料在投入使用前发生的一般仓储费用计入当期损益，选项AC正确。季节性和bai修理期间的停工du损失属于正常损失，将zhi来应该计入dao相应成本中，所以先转计入制造费用中归集。</t>
    <phoneticPr fontId="1" type="noConversion"/>
  </si>
  <si>
    <t>下列项目中，应在企业资产负债表“存货”项目中列示的有（  ）</t>
    <phoneticPr fontId="1" type="noConversion"/>
  </si>
  <si>
    <t>为外单位加工修理的代修品</t>
    <phoneticPr fontId="1" type="noConversion"/>
  </si>
  <si>
    <t>企业正在制造尚未完工的产品</t>
    <phoneticPr fontId="1" type="noConversion"/>
  </si>
  <si>
    <t>为建造固定资产等各项工程而储备的各种材料</t>
    <phoneticPr fontId="1" type="noConversion"/>
  </si>
  <si>
    <t>原材料</t>
    <phoneticPr fontId="1" type="noConversion"/>
  </si>
  <si>
    <t>本题考核存货的确认。 存货，是指企业在日常活动中持有以备出售 的产成品或商品、处在生产过程中的在产品、在生产过程或提供劳务过程中耗用的材料和物料等，选项ABD正确，选项C为工程物资，不能作为企业存货。</t>
    <phoneticPr fontId="1" type="noConversion"/>
  </si>
  <si>
    <t>下列各项中，应当计入存货成本的是（   ）。</t>
    <phoneticPr fontId="1" type="noConversion"/>
  </si>
  <si>
    <t>季节性停工损失</t>
    <phoneticPr fontId="1" type="noConversion"/>
  </si>
  <si>
    <t>超定额的废品损失</t>
    <phoneticPr fontId="1" type="noConversion"/>
  </si>
  <si>
    <t>新产品研发人员的薪酬</t>
    <phoneticPr fontId="1" type="noConversion"/>
  </si>
  <si>
    <t>采购材料入库后的储存费用</t>
    <phoneticPr fontId="1" type="noConversion"/>
  </si>
  <si>
    <t>本题考核存货成本的影响因素。
选项A，季节性停工损失计入到制造费用，影响存货成本；
选项B，超定额的废品损失，计入当期损益，不影响存货成本；
选项C，新产品研发人员的薪酬，资本化的部分，计入到产品成本，费用化的部分，计入到当期损益；
选项D，采购材料入库后的储存费用，计入到当期损益，不影响存货的成本。</t>
    <phoneticPr fontId="1" type="noConversion"/>
  </si>
  <si>
    <t>存货存在下列情形之一的，通常表明存货的可变现净值为零，应全额计提减值准备有（）。</t>
    <phoneticPr fontId="1" type="noConversion"/>
  </si>
  <si>
    <t>已霉烂变质的存货</t>
    <phoneticPr fontId="1" type="noConversion"/>
  </si>
  <si>
    <t>已过期且无转让价值的存货</t>
    <phoneticPr fontId="1" type="noConversion"/>
  </si>
  <si>
    <t>生产中已不再需要的存货</t>
    <phoneticPr fontId="1" type="noConversion"/>
  </si>
  <si>
    <t>企业因产品更新换代，原有库存原材料已不适应新产品的需要</t>
    <phoneticPr fontId="1" type="noConversion"/>
  </si>
  <si>
    <t>AB</t>
    <phoneticPr fontId="1" type="noConversion"/>
  </si>
  <si>
    <t>本题考核存货的后续计量。选项C，生产中已不再需要，且无使用价值和转让价值的存货，才全额计提减值准备；选项D，通常表明存货发生了减值，但并不一定全额计提减值准备。【一定要提到无转让价值！】</t>
    <phoneticPr fontId="1" type="noConversion"/>
  </si>
  <si>
    <t>下列各项中，企业在判断存货成本与可变现净值孰低时，可作为存货成本确凿证据的有（    ）。</t>
    <phoneticPr fontId="1" type="noConversion"/>
  </si>
  <si>
    <t>外来原始凭证</t>
    <phoneticPr fontId="1" type="noConversion"/>
  </si>
  <si>
    <t>生产成本资料</t>
    <phoneticPr fontId="1" type="noConversion"/>
  </si>
  <si>
    <t>生产预算资料</t>
    <phoneticPr fontId="1" type="noConversion"/>
  </si>
  <si>
    <t>生产成本账簿记录</t>
    <phoneticPr fontId="1" type="noConversion"/>
  </si>
  <si>
    <t>本题考核存货成本的确定。选项C，生产成本预算资料属于预算行为，不属于实际发生的成本，不能作为存货成本确凿证据。</t>
    <phoneticPr fontId="1" type="noConversion"/>
  </si>
  <si>
    <t>对于需要加工才能对外销售的在产品，下列各项中，属于在确定其可变现净值时应考虑的因素有（    ）。</t>
    <phoneticPr fontId="1" type="noConversion"/>
  </si>
  <si>
    <t>在产品已经发生的生产成本</t>
    <phoneticPr fontId="1" type="noConversion"/>
  </si>
  <si>
    <t>在产品加工成产成品后对外销售的预计销售价格</t>
    <phoneticPr fontId="1" type="noConversion"/>
  </si>
  <si>
    <t>在产品未来加工成产成品估计将要发生的加工成本</t>
    <phoneticPr fontId="1" type="noConversion"/>
  </si>
  <si>
    <t>在产品加工成产成品后对外销售预计发生的销售费用</t>
    <phoneticPr fontId="1" type="noConversion"/>
  </si>
  <si>
    <t>BCD</t>
    <phoneticPr fontId="1" type="noConversion"/>
  </si>
  <si>
    <t>本题考核存货可变现净值的影响因素。对于需要加工才能对外销售的在产品，可变现净值=在产品加工成产成品对外销售的预计销售价格-预计销售产成品发生的销售费用-在产品未来加工成产成品估计还将发生的成本。</t>
    <phoneticPr fontId="1" type="noConversion"/>
  </si>
  <si>
    <t>企业为执行销售合同而持有的存货，其可变现净值应以合同价格为基础计算。(    )</t>
    <phoneticPr fontId="1" type="noConversion"/>
  </si>
  <si>
    <t>本题考核存货可变现净值的确定。为执行销售合同或者劳务合同而持有的存货，其可变现净值应当以合同价格为基础而不是估计售价，减去估计的销售费用和相关税费等后的金额确定。</t>
    <phoneticPr fontId="1" type="noConversion"/>
  </si>
  <si>
    <t>甲公司2015年年末库存乙材料的账面余额为1500万元，年末计提跌价准备前账面价值为1400万元，库存乙材料将全部用于生产丙产品，预计丙产品的市场价格总额为1650万元，预计生产丙产品还需发生除乙材料以外的加工成本为450万元，预计为销售丙产品发生的相关税费总额为82.5万元。丙产品销售数量中有固定销售合同的占80%，合同价格总额为1350万元。则2015年12月31日甲公司对乙材料应计提的存货跌价准备金额为（ ）万元。</t>
    <phoneticPr fontId="1" type="noConversion"/>
  </si>
  <si>
    <t>D</t>
    <phoneticPr fontId="1" type="noConversion"/>
  </si>
  <si>
    <t>本题考核期末存货跌价准备的计量。
年末乙材料计提跌价准备前的存货跌价准备余额= 1500 - 1400 = 100 （万元）；
无销售合同部分材料可变现净值=（1650 -450 -82.5） ×20% =223.5 （万元），成本 = 1500×20% =300 （万元），无销售合同部分期末存货跌价准备余额=300 -223. 5 = 76.5 （万元），本期应计提存货跌价准备=76. 5 - 100 ×20% =56.5 （万元）；
有合同部分材料可变现净值= 1350 -450 ×80% -82. 5 ×80% =924 （万元），成本= 1500 ×80% = 1200（万元），有合同部分存货跌价准备余额= 1200 -924 =276 （万元），本期应计提存货跌价准备=276 - 100 ×80% =196 （万元）；
因此2015年应计提存货跌价准备= 56. 5 +196 =252. 5 （万元）。</t>
    <phoneticPr fontId="1" type="noConversion"/>
  </si>
  <si>
    <t>下列关于存货可变现净值的表述中，正确的是（　　）。</t>
    <phoneticPr fontId="1" type="noConversion"/>
  </si>
  <si>
    <t>可变现净值是指存货在资产负债表日的售价</t>
    <phoneticPr fontId="1" type="noConversion"/>
  </si>
  <si>
    <t>成本与可变现净值孰低法体现了会计信息质量要求中的实质重于形式要求</t>
    <phoneticPr fontId="1" type="noConversion"/>
  </si>
  <si>
    <t>已过期且无转让价值的存货可变现净值通常为零</t>
    <phoneticPr fontId="1" type="noConversion"/>
  </si>
  <si>
    <t>为执行销售合同而持有的存货，应当以产品的市场价格作为其可变现净值的计算基础</t>
    <phoneticPr fontId="1" type="noConversion"/>
  </si>
  <si>
    <t>C</t>
    <phoneticPr fontId="1" type="noConversion"/>
  </si>
  <si>
    <t>本题考核可变现净值的会计处理。
选项A错误，可变现净值是指存货的预计未来净现金流量而不是存货的售价或合同价；
选项B错误，成本与可变现净值孰低法是谨慎性原则在存货会计上的具体运用；
选项D错误，为执行销售合同而持有的存货，通常应当以产成品或商品的合同价格作为其可变现净值的计算基础。</t>
    <phoneticPr fontId="1" type="noConversion"/>
  </si>
  <si>
    <t>甲公司期末原材料数量为10吨，账面成本为90万元，已计提减值准备15万元。该原材料专门用于生产与乙公司所需合同约定的20台Y产品。合同约定的售价为每台10万元（不含增值税）。估计将该原材料加工成Y产品每台尚需加工成本总额为5万元，销售每台Y产品尚需发生相关税费1万元，本期期末市场上该原材料每吨售价为9万元。估计销售每吨原材料尚需发生相关税费0.1万元。则期末该原材料尚需计提减值准备为（　　）万元。</t>
    <phoneticPr fontId="1" type="noConversion"/>
  </si>
  <si>
    <t>本题考核期末存货的计量。
企业的存货成本应当在期末（即资产负债表日）按成本与可变现净值孰低计量，对可变现净值低于存货成本的差额，计提存货跌价准备，计入当期损益。即期末存货的计价方法采用成本与可变现净值孰低法。Y产品的成本=90+20×5=190（万元），可变现净值=20×（10-1）=180（万元），原材料的成本为90万元，可变现净值=180-5×20=80（万元），成本大于可变现净值，则期末存货跌价准备科目余额为10万元，原已计提减值准备15万元，则本期应转回减值5万元。</t>
    <phoneticPr fontId="1" type="noConversion"/>
  </si>
  <si>
    <t>下列表明存货发生减值的情况有（ ）。</t>
    <phoneticPr fontId="1" type="noConversion"/>
  </si>
  <si>
    <t>企业因为产品更新换代，原有库存原材料已不适应新产品的需要，而该原材料的市价高于其账面成本</t>
    <phoneticPr fontId="1" type="noConversion"/>
  </si>
  <si>
    <t>企业使用该项原材料生产的产品的成本大于产品的销售价格</t>
    <phoneticPr fontId="1" type="noConversion"/>
  </si>
  <si>
    <t>因企业所提供的商品或劳务过时，导致原材料市场价格逐渐下跌</t>
    <phoneticPr fontId="1" type="noConversion"/>
  </si>
  <si>
    <t>原材料市价持续下跌，并且在可预见的未来无回升的希望</t>
    <phoneticPr fontId="1" type="noConversion"/>
  </si>
  <si>
    <t>BCD</t>
    <phoneticPr fontId="1" type="noConversion"/>
  </si>
  <si>
    <t>选项A：写的是高于不是地狱。仔细！</t>
    <phoneticPr fontId="1" type="noConversion"/>
  </si>
  <si>
    <t>下列有关存货会计处理的表述中，正确的有（　　）。</t>
    <phoneticPr fontId="1" type="noConversion"/>
  </si>
  <si>
    <t>资产负债表日，存货应当按照成本与可变现净值孰低计量</t>
    <phoneticPr fontId="1" type="noConversion"/>
  </si>
  <si>
    <t>结转产品销售成本时，应将已计提的存货跌价准备冲减主营业务成本</t>
    <phoneticPr fontId="1" type="noConversion"/>
  </si>
  <si>
    <t>期末存货的可变现净值大于其账面价值的，原已计提的存货跌价准备应当全部予以恢复</t>
    <phoneticPr fontId="1" type="noConversion"/>
  </si>
  <si>
    <t>企业的存货跌价准备一经计提，不得转回</t>
    <phoneticPr fontId="1" type="noConversion"/>
  </si>
  <si>
    <t>选项C错误，期末存货的可变现净值大于其成本（非账面价值）的，如果以前减记存货价值的影响因素已经消失，则减记的金额应当予以恢复，并在原已计提的存货跌价准备的金额内转回；选项D错误，存货计提跌价准备后，如果减记存货价值的影响因素已经消失,可以在原计提范围内转回以前因该因素计提的存货跌价准备。</t>
    <phoneticPr fontId="1" type="noConversion"/>
  </si>
  <si>
    <t>AB</t>
    <phoneticPr fontId="1" type="noConversion"/>
  </si>
  <si>
    <t>2×16年12月31日，甲公司持有乙原材料200吨，单位成本为20万元/吨。每吨乙原材料可加工生产丙产成品一件，该丙产成品售价为21.2万元/件，将乙原材料加工至丙产成品过程中发生加工费等相关费用共计2.6万元/件；当日，乙原材料的市场价格为19.3万元/吨。甲公司2×16年财务报表批准报出前几日，乙原材料及丙产成品的市场价格开始上涨，其中乙原材料价格为19.6万元/吨，丙产成品的价格为21.7万元/件，甲公司在2×16年以前未计提存货跌价准备。不考虑其他因素，甲公司2×16年12月31日就持有的乙原材料应当计提的存货跌价准备是（ ）万元。</t>
    <phoneticPr fontId="1" type="noConversion"/>
  </si>
  <si>
    <t>B</t>
    <phoneticPr fontId="1" type="noConversion"/>
  </si>
  <si>
    <t>本题考核期末材料存货跌价准备的计提。【存货跌价准备只考虑在资产负债表日的情况，不考虑其他。】 
丙产成品的可变现净值=21.2×200=4240（万元），丙产成品的成本=200×20+2.6×200=4520（万元），丙产成品的成本大于其可变现净值，表明丙产成品发生减值，所以原材料发生减值。原材料的可变现净值=4240-2.6×200=3720（万元），原材料应计提的存货跌价准备=200×20-3720=280（万元）。</t>
    <phoneticPr fontId="1" type="noConversion"/>
  </si>
  <si>
    <t>甲公司为增值税一般纳税人。2020年1月1日，甲公司库存原材料的账面余额为2500万元，账面价值为2000万元；当年购入原材料增值税专用发票注明的价款为3000万元，增值税进项税额为390万元，当年领用原材料的成本为2800万元（不含存货跌价准备）；当年末原材料的成本大于其可变现净值，两者差额为300万元。不考虑其他因素。甲公司2020年12月31日原材料的账面价值是（   ）万元。</t>
    <phoneticPr fontId="1" type="noConversion"/>
  </si>
  <si>
    <t>B</t>
    <phoneticPr fontId="1" type="noConversion"/>
  </si>
  <si>
    <t>本题考核存货的期末计量。期末产品的账面成本=2500+3000-2800=2700（万元），成本大于可变现净值，差额为300万元，其可变现净值=2700-300=2400（万元），期末存货按照成本与可变现孰低进行计量，故账面价值为2400万元，选项B正确。</t>
    <phoneticPr fontId="1" type="noConversion"/>
  </si>
  <si>
    <t>甲公司主要从事 x 产品的生产和销售，生产x 产品使用的主要材料 Y 材料全部从外部购入，20×7 年 12 月 31 日，在甲公司财务报表中库存 Y 材料的成本为 5600 万元，若将全部库存Y 材料加工成 x 产品，甲公司估计还需发生成本 1800 万元。预计加工而成的 x 产品售价总额为 7000 万元，预计的销售费用及相关税费总额为 300 万元，若将库存 Y 材料全部予以出售，其市场价格为 5000 万元。假定甲公司持有 Y 材料的目的系用于 X 产品的生产，不考虑其他因素，甲公司在对 Y 材料进行期末计算时确定的可变现净值是（  ）万元。</t>
    <phoneticPr fontId="1" type="noConversion"/>
  </si>
  <si>
    <t>本题考核材料存货的期末计量。x产品成本=5600+1800=7400，x产品可变现净值=7000-300=6700，成本&gt;可变现净值，x产品发生了减值，所以用于生产x产品的Y原材料发生了减值。Y材料成本=5600，Y 材料的可变现净值=（7000-300）-1800=4900（万元）。</t>
    <phoneticPr fontId="1" type="noConversion"/>
  </si>
  <si>
    <t>甲公司外购一批存货，购入成本为3000万元，计提存货跌价准备500万元。对外出售40%，售价1100万元。假设不考虑增值税等相关税费，下列说法正确的有( )</t>
    <phoneticPr fontId="1" type="noConversion"/>
  </si>
  <si>
    <t>增加营业收入1100万元</t>
    <phoneticPr fontId="1" type="noConversion"/>
  </si>
  <si>
    <t>增加营业成本1200万元</t>
    <phoneticPr fontId="1" type="noConversion"/>
  </si>
  <si>
    <t>减少存货账面价值1000万元</t>
    <phoneticPr fontId="1" type="noConversion"/>
  </si>
  <si>
    <t>冲减资产减值损失 200 万元</t>
    <phoneticPr fontId="1" type="noConversion"/>
  </si>
  <si>
    <t>AC</t>
    <phoneticPr fontId="1" type="noConversion"/>
  </si>
  <si>
    <t>本题考核存货跌价准备的计提与转回。企业计提了存货跌价准备，如果其中有部分存货已经销售，则企业在结转销售成本时，应同时结转对其已计提的存货跌价准备，相关账务处理如下：
借：银行存款        1100
贷：主营业务收入 1100
借：主营业务成本 1000
       存货跌价准备  200（=500×40%）
贷：库存商品         1200（=3000×40%）</t>
    <phoneticPr fontId="1" type="noConversion"/>
  </si>
  <si>
    <t>甲公司为增值税一般纳税人，适用的增值税税率为13%。20×9年7月1日，甲公司对某项生产用机器设备进行更新改造。当日，该设备原价为500万元，累计折旧200万元，已计提减值准备50万元。更新改造过程中发生劳务费用100万元；领用本公司生产的产品一批，成本为80万元，市场价格（不含增值税额）为100万元。经更新改造的机器设备于20×9年9月10日达到预定可使用状态。假定上述更新改造支出符合资本化条件，更新改造后该机器设备的入账价值为(    )。</t>
    <phoneticPr fontId="1" type="noConversion"/>
  </si>
  <si>
    <t>本题考核固定资产的后续支出的计量。机器设备更新改造后的入账价值=该项机器设备进行更新前的账面价值+发生的后续支出=（500-200-50）+100+80=430（万元）。【领用公司的存货按历史成本不视同销售。】</t>
    <phoneticPr fontId="1" type="noConversion"/>
  </si>
  <si>
    <t>以一笔款项购入多项没有单独标价的固定资产，应当将该款项在各项固定资产中平均分配，以此作为各项固定资产的成本。</t>
    <phoneticPr fontId="1" type="noConversion"/>
  </si>
  <si>
    <t>本题考核固定资产的初始计量。以一笔款项购入多项没有单独标价的固定资产，应当按照各项固定资产的公允价值比例对总成本进行分配，分别确定各项固定资产的成本。</t>
    <phoneticPr fontId="1" type="noConversion"/>
  </si>
  <si>
    <t>下列应计入自行建造固定资产成本的有（   ）。</t>
    <phoneticPr fontId="1" type="noConversion"/>
  </si>
  <si>
    <t>达到预定可使用状态前分摊的间接费用</t>
    <phoneticPr fontId="1" type="noConversion"/>
  </si>
  <si>
    <t>为建造固定资产通过出让方式取得土地使用权而支付的土地出让金</t>
    <phoneticPr fontId="1" type="noConversion"/>
  </si>
  <si>
    <t>达到预定可使用状态前满足资本化条件的借款费用</t>
    <phoneticPr fontId="1" type="noConversion"/>
  </si>
  <si>
    <t>达到预定可使用状态前发生的工程用物资成本</t>
    <phoneticPr fontId="1" type="noConversion"/>
  </si>
  <si>
    <t>ACD</t>
    <phoneticPr fontId="1" type="noConversion"/>
  </si>
  <si>
    <t>本题考核自行建造固定资产成本应考虑的因素。
步骤一、明确自行建造固定资产包括的成本因素。自行建造的固定资产，其成本有建造该项资产达到预定可使用状态前所发生的必要支出构成，包括工程用物资成本、人工成本、缴纳的相关税费、应予资本化的借款费用以及应分摊的间接费用等；
步骤二、根据题意，选项ACD均符合固定资产成本入账的计量因素；
选项B，企业为建造固定资产通过出让方式取得土地使用权而支付的土地出让金不计入在建工程成本，应确认为无形资产，选项B错误；
因此，正确答案为选项ACD。</t>
    <phoneticPr fontId="1" type="noConversion"/>
  </si>
  <si>
    <t>企业自行建造厂房过程中发生的下列支出，不构成在建工程项目成本的是（　　）。</t>
    <phoneticPr fontId="1" type="noConversion"/>
  </si>
  <si>
    <t>支付在建工程设计费</t>
    <phoneticPr fontId="1" type="noConversion"/>
  </si>
  <si>
    <t>支付在建工程项目管理人员工资</t>
    <phoneticPr fontId="1" type="noConversion"/>
  </si>
  <si>
    <t>领用自产应税消费品负担的消费税</t>
    <phoneticPr fontId="1" type="noConversion"/>
  </si>
  <si>
    <t>应予费用化的借款费用</t>
    <phoneticPr fontId="1" type="noConversion"/>
  </si>
  <si>
    <t xml:space="preserve">本题考核在建工程的确认。 选项D，计入财务费用，不构成在建工程项目成本。  </t>
    <phoneticPr fontId="1" type="noConversion"/>
  </si>
  <si>
    <t>企业以出包方式建造固定资产过程中，下列各项应在“在建工程一待摊支出”科目核算的有（ ）。</t>
    <phoneticPr fontId="1" type="noConversion"/>
  </si>
  <si>
    <t>发生的工程物资盘盈净收益</t>
    <phoneticPr fontId="1" type="noConversion"/>
  </si>
  <si>
    <t>进行负荷联合试车领用的原材料费用</t>
    <phoneticPr fontId="1" type="noConversion"/>
  </si>
  <si>
    <t>发生的符合资本化条件的外币借款的汇兑差额</t>
    <phoneticPr fontId="1" type="noConversion"/>
  </si>
  <si>
    <t>发生的工程管理费</t>
    <phoneticPr fontId="1" type="noConversion"/>
  </si>
  <si>
    <t>ABCD</t>
    <phoneticPr fontId="1" type="noConversion"/>
  </si>
  <si>
    <t>本题考核有关在建工程—待摊支出的会计处理。在建工程一待摊支出包括为建造工程发生的管理费、可行性研究费、临时设施费、公证费、监理费、应负担的税金、符合资本化条件的借款费用、建设期间发生的工程物资盘亏、报废及毁损净损失，以及负荷联合试车费等。</t>
    <phoneticPr fontId="1" type="noConversion"/>
  </si>
  <si>
    <t>甲公司为境内上市公司，2×16年3月10日为筹集生产线建设资金，通过定向增发本公司股票募集资金30000万元。生产线建造工程于2×16年4月1日开工，至2×16年10月31日，募集资金已全部投入。为补充资金缺口，11月1日，甲公司以一般借款（甲公司仅有一笔年利率为6%的一般借款）补充生产线建设资金3000万元。建造过程中，甲公司领用本公司原材料一批，成本为1000万元。至2×16年12月31日，该生产线建造工程仍在进行当中。不考虑税费及其他因素，下列各项甲公司2×16年所发生的支出中，应当资本化并计入所建造生产线成本的有（   ）。</t>
    <phoneticPr fontId="1" type="noConversion"/>
  </si>
  <si>
    <t>领用本公司原材料1000万元</t>
    <phoneticPr fontId="1" type="noConversion"/>
  </si>
  <si>
    <t>2×16年11月1日至年底占用一般借款所发生的利息</t>
    <phoneticPr fontId="1" type="noConversion"/>
  </si>
  <si>
    <t>使用募集资金支出30000万元</t>
    <phoneticPr fontId="1" type="noConversion"/>
  </si>
  <si>
    <t>使用一般借款资金支出3000万元</t>
    <phoneticPr fontId="1" type="noConversion"/>
  </si>
  <si>
    <t>本题考核固定资产入账成本的确定。领用本公司原材料，属于内部耗用，按照价值结转成本，选项A正确；2×16年11月1日至年底属于资本化期间，一般借款产生的利息计入资产的成本，选项B正确；使用募集资金支出30000万元，因筹建资产支出，故计入到资产的成本，选项C正确；因建造生产线支出一般借款，应计入资产的成本，选项D正确。</t>
    <phoneticPr fontId="1" type="noConversion"/>
  </si>
  <si>
    <t>甲公司为增值税一般纳税人。2019年8月1日，甲公司通过公开拍卖市场以5000万元购买一块可作用50年的土地使用权，用于建造商品房。为建造商品房，甲公司于2019年9月1日向银行专门借款4000万元，年利率5%（等于实际利率）。截至2019年12月31日，建造商品房累计支出5000万元，增值税进项税额650万元，商品房尚在建造过程中，专门借款未使用期间获得投资收益5万元。不考虑其他因素，下列各项关于甲公司购买土地使用权建造商品房会计处理的表述中，正确的有（   ）。</t>
    <phoneticPr fontId="1" type="noConversion"/>
  </si>
  <si>
    <t>购买土地使用权发生的成本计入所建造商品房的成本</t>
    <phoneticPr fontId="1" type="noConversion"/>
  </si>
  <si>
    <t>2019年专门借款应支付的利息计入所建造商品房的成本</t>
    <phoneticPr fontId="1" type="noConversion"/>
  </si>
  <si>
    <t>建造商品房所支付的增值税进项税额计入所建造商品房的成本</t>
    <phoneticPr fontId="1" type="noConversion"/>
  </si>
  <si>
    <t>专门借款未使用期间获得的投资收益冲减所建造商品房的成本</t>
    <phoneticPr fontId="1" type="noConversion"/>
  </si>
  <si>
    <t>本题考核建造商品房成本的确认。 增值税是价外税，建造商品房支付的增值税不计入商品房的成本，选项C不正确。</t>
    <phoneticPr fontId="1" type="noConversion"/>
  </si>
  <si>
    <t>甲公司以出包方式建造厂房。建造过程中发生的下列支出中，应计入所建造固定资产成本的有(    )。</t>
    <phoneticPr fontId="1" type="noConversion"/>
  </si>
  <si>
    <t>支出给第三方监理公司的监理费</t>
    <phoneticPr fontId="1" type="noConversion"/>
  </si>
  <si>
    <t>季节性暂停建造期间外币专门借款的汇兑损益</t>
    <phoneticPr fontId="1" type="noConversion"/>
  </si>
  <si>
    <t>取得土地使用权的土地出让金</t>
    <phoneticPr fontId="1" type="noConversion"/>
  </si>
  <si>
    <t>建造期间联合试车费用</t>
    <phoneticPr fontId="1" type="noConversion"/>
  </si>
  <si>
    <t>本题考核固定资产成本的确定。
企业以出包方式建造固定资产，其成本由建造该项固定资产达到预定可使用状态前所发生的必要支出构成，包括发生的建筑工程支出、安装工程支出，以及需分摊计入的待摊支出。
待摊支出，是指在建设期间发生的、不能直接计入某项固定资产价值，而应由所建造固定资产共同负担的相关费用，包括为建造工程发生的管理费、可行性研究费、临时设施费、公证费、监理费、应负担的税金、符合资本化条件的借款费用、建设期间发生的工程物资盘亏、报废及毁损净损失，以及负荷联合试车费等；选项C，为取得土地使用权而缴纳的土地出让金应当确认为无形资产。</t>
    <phoneticPr fontId="1" type="noConversion"/>
  </si>
  <si>
    <t>下列各项中,应当计入企业固定资产入账价值的有()。</t>
    <phoneticPr fontId="1" type="noConversion"/>
  </si>
  <si>
    <t>固定资产建造期间因安全事故连续停工4个月的借款费用</t>
    <phoneticPr fontId="1" type="noConversion"/>
  </si>
  <si>
    <t>满足资本化条件的固定资产改建支出</t>
    <phoneticPr fontId="1" type="noConversion"/>
  </si>
  <si>
    <t>固定资产的日常维修费</t>
    <phoneticPr fontId="1" type="noConversion"/>
  </si>
  <si>
    <t>固定资产的预计弃置费用的现值</t>
    <phoneticPr fontId="1" type="noConversion"/>
  </si>
  <si>
    <t>BD</t>
    <phoneticPr fontId="1" type="noConversion"/>
  </si>
  <si>
    <t>本题考核固定资产入账价值的影响因素。 固定资产建造期间发生安全事故属于非正常中断,且连续超过3个月,则该停工期间应暂停借款费用的资本化，属于费用化期间,相关借款费用应予费用化,不影响建造资产的成本,选项A错误；固定资产的日常修理费用通常不满足固定资产的确认条件,应在发生时直接计入当期损益,选项C错误。</t>
    <phoneticPr fontId="1" type="noConversion"/>
  </si>
  <si>
    <t>下列各项中，应计入固定资产折旧范围的是（）。</t>
    <phoneticPr fontId="1" type="noConversion"/>
  </si>
  <si>
    <t>已提足折旧仍继续使用的固定资产</t>
    <phoneticPr fontId="1" type="noConversion"/>
  </si>
  <si>
    <t>未使用的固定资产</t>
    <phoneticPr fontId="1" type="noConversion"/>
  </si>
  <si>
    <t>处于更新改造过程停止使用的固定资产</t>
    <phoneticPr fontId="1" type="noConversion"/>
  </si>
  <si>
    <t>经营租出的固定资产</t>
    <phoneticPr fontId="1" type="noConversion"/>
  </si>
  <si>
    <t>本题考核固定资产折旧的计提范围。 
选项A，已提足折旧仍继续使用的固定资产不计提折旧；
选项B，未使用、不需用的固定资产仍需要计提折旧，折旧费用计入“管理费用”科目； 
选项C，处于更新改造过程停止使用的固定资产，应将其账面价值转入在建工程，更新改造期间不再计提折旧； 
选项D，经营租出的固定资产仍需要计提折旧，经营租入的固定资产因企业没有所有权，不需要计提折旧，但是融资租入的固定资产需计提折旧。 
因此，正确答案为选项BD。</t>
    <phoneticPr fontId="1" type="noConversion"/>
  </si>
  <si>
    <t xml:space="preserve"> 关于固定资产的后续支出，下列各项中说法不正确的有（）。</t>
    <phoneticPr fontId="1" type="noConversion"/>
  </si>
  <si>
    <t>固定资产发生的后续支出，应当计入固定资产成本</t>
    <phoneticPr fontId="1" type="noConversion"/>
  </si>
  <si>
    <t>固定资产发生后续支出完工并达到预定可使用状态时，应从在建工程转为固定资产，并按重新确定的使用寿命、预计净残值和折旧方法计提折旧</t>
    <phoneticPr fontId="1" type="noConversion"/>
  </si>
  <si>
    <t>对固定资产定期检查发生的大修理费用，应当费用化，计入当期损益</t>
    <phoneticPr fontId="1" type="noConversion"/>
  </si>
  <si>
    <t>固定资产后续支出符合固定资产确认条件的，应当计入固定资产成本，同时将被替换部分按原购买价值扣除</t>
    <phoneticPr fontId="1" type="noConversion"/>
  </si>
  <si>
    <t>ACD</t>
    <phoneticPr fontId="1" type="noConversion"/>
  </si>
  <si>
    <t>本题考核固定资产的后续支出。 固定资产后续支出的处理原则为：符合固定资产确认条件的，应当计入固定资产成本，同时将被替换部分的账面价值扣除；不符合固定资产确认条件的，应当计入当期损益。由此可知，后续支出要区分是否符合固定资产确认条件，而不是全部计入固定资产；且被替换部分是扣除账面价值，而非原值，因此，选项AD错误。选项C，对固定资产定期检查发生的大修理费用，有确凿证据表明符合固定资产确认条件的部分，应予资本化计入固定资产成本，不符合固定资产确认条件的，应当费用化，计入当期损益，因此，选项C错误。 因此，正确答案为选项ACD。</t>
    <phoneticPr fontId="1" type="noConversion"/>
  </si>
  <si>
    <t>下列关于固定资产折旧会计处理的表述中，正确的有（）。</t>
    <phoneticPr fontId="1" type="noConversion"/>
  </si>
  <si>
    <t>处于更新改造过程中的固定资产应停止计提折旧</t>
    <phoneticPr fontId="1" type="noConversion"/>
  </si>
  <si>
    <t>已达到预定可使用状态但尚未办理竣工决算的固定资产应当按暂估价值计提折旧</t>
    <phoneticPr fontId="1" type="noConversion"/>
  </si>
  <si>
    <t>提前报废的固定资产不再补提折旧</t>
    <phoneticPr fontId="1" type="noConversion"/>
  </si>
  <si>
    <t>与固定资产有关的经济利益预期消耗方式发生重大改变的，应当调整折旧方法</t>
    <phoneticPr fontId="1" type="noConversion"/>
  </si>
  <si>
    <t>本题考核固定资产折旧的会计处理。 本题说法全部正确。</t>
    <phoneticPr fontId="1" type="noConversion"/>
  </si>
  <si>
    <t>下列关于企业各项固定资产会计处理的表述中，正确的有（   ）。</t>
    <phoneticPr fontId="1" type="noConversion"/>
  </si>
  <si>
    <t>当月增加固定资产，当月计提折旧</t>
    <phoneticPr fontId="1" type="noConversion"/>
  </si>
  <si>
    <t>当月减少的未提足折旧的固定资产，当月仍计提折旧</t>
    <phoneticPr fontId="1" type="noConversion"/>
  </si>
  <si>
    <t>至少每年年度终了对固定资产使用寿命、预计净残值和折旧方法进行复核</t>
    <phoneticPr fontId="1" type="noConversion"/>
  </si>
  <si>
    <t>企业计提的固定资产折旧，应当根据用途计入相关资产的成本或者当期损益</t>
    <phoneticPr fontId="1" type="noConversion"/>
  </si>
  <si>
    <t>BCD</t>
    <phoneticPr fontId="1" type="noConversion"/>
  </si>
  <si>
    <t>本题考核固定资产计提折旧的处理。 当月增加的固定资产，当月不计提折旧，下月开始计提折旧，选项A错误； 当月减少的未提足折旧的固定资产，当月照提折旧，从下月起开始停止计提折旧，选项B正确；  企业应当至少于每年年度终了对固定资产使用寿命、预计净残值和折旧方法进行复核，选项C正确； 企业计提的固定资产折旧，应当根据用途计入相关资产的成本或者当期损益，选项D正确。</t>
    <phoneticPr fontId="1" type="noConversion"/>
  </si>
  <si>
    <t>下列关于固定资产会计处理的表述中，正确的有(     )。</t>
    <phoneticPr fontId="1" type="noConversion"/>
  </si>
  <si>
    <t>已转为持有待售的固定资产不应计提折旧</t>
    <phoneticPr fontId="1" type="noConversion"/>
  </si>
  <si>
    <t>至少每年年度终了对固定资产折旧方法进行复核</t>
    <phoneticPr fontId="1" type="noConversion"/>
  </si>
  <si>
    <t>至少每年年度终了对固定资产使用寿命进行复核</t>
    <phoneticPr fontId="1" type="noConversion"/>
  </si>
  <si>
    <t>至少每年年度终了对固定资产预计净残值进行复核</t>
    <phoneticPr fontId="1" type="noConversion"/>
  </si>
  <si>
    <t>本题考核固定资产使用寿命、预计净残值和折旧方法的复核。
选项A，已转为持有待售的固定资产已经不符合固定资产的定义了，因此，不再计提折旧；《企业会计准则第4号——固定资产》规定，企业至少应当于每年年度终了，对固定资产的使用寿命、预计净残值和折旧方法进行复核，选项BCD正确。
因此，本题正确答案为ABCD。</t>
    <phoneticPr fontId="1" type="noConversion"/>
  </si>
  <si>
    <t>甲公司2013年12月15日购入一台入账价值为200万元的生产设备，购入后即达到预定可使用状态。该设备预计使用寿命为10年，预计净残值为12万元。按照年限平均法计提折旧。2014年年末因出现减值迹象，甲公司对该设备进行减值测试，预计该设备的公允价值为110万元，处置费用为26万元，如果继续使用，预计未来使用及处置产生的现金流量现值为70万元。假定原预计使用寿命、净残值以及选用的折旧方法不变。则 2015年该生产设备应计提折旧额为（ ）万元。</t>
    <phoneticPr fontId="1" type="noConversion"/>
  </si>
  <si>
    <t>本题考核固定资产折旧的计量。
2014年计提减值准备前该设备账面价值=200 -（200 - 12）/10 = 181.2（万元），可收回金额= 110 -26 = 84 （万元），2014年年末计提减值准备= 181.2-84 = 97. 2 （万元），计提减值准备后的账面价值为84万元；2015年设备应计提折旧金额= （84-12）/9=8 （万元）。</t>
    <phoneticPr fontId="1" type="noConversion"/>
  </si>
  <si>
    <t>公司自行建造某项生产用设备，建造过程中发生外购材料和设备成本183万元（不考虑増值税），人工费用30万元，资本化的借款费用48万元，安装费用28. 5万元。为达到正常运转发生的测试费18万元，外聘专业人员服务费9万元，形成可对外出售的产品价值3万元。该设备预计使用年限为10年，预计净残值为零，采用年限平均法计提折旧。则设备每年应计提折旧额为（ ）万元。</t>
    <phoneticPr fontId="1" type="noConversion"/>
  </si>
  <si>
    <t>本题考核固定资产折旧的计量。
在建工程是试运行收入部分，属于试车收入，应冲减在建工程，该生产设备的入账价值=183 +30 +48 +28.5 +9 +18 -3 =313.5 （万元），每年应计提的折旧金额=313. 5/10 =31. 35 （万元）。</t>
    <phoneticPr fontId="1" type="noConversion"/>
  </si>
  <si>
    <t>甲公司为延长乙设备的使用寿命，于2016年10月对其进行改良，11月完工，改良过程中发生相关支出共计32万元，改良时乙设备的账面原值为200万元。采用年限平均法计提折旧，预计使用年限为5年，预计净残值为零，已使用2年，已计提减值准备30万元，若被替换部分的账面原值为60万元，在2016年11月改良后乙设备的账面价值为（　　）万元。</t>
    <phoneticPr fontId="1" type="noConversion"/>
  </si>
  <si>
    <t>本题考核更新改造的固定资产的会计处理。 改良前乙设备账面价值=200-200/5×2-30=90（万元），改良后乙设备账面价值=90-60/200×90+32=95（万元）或90-（60-60*2/5-30*60/200）+32=95。</t>
    <phoneticPr fontId="1" type="noConversion"/>
  </si>
  <si>
    <t>下列关于固定资产折旧的表述中，正确的有（ ）。</t>
    <phoneticPr fontId="1" type="noConversion"/>
  </si>
  <si>
    <t>发生的符合固定资产确认条件的装修费用，应当按期计提折旧</t>
    <phoneticPr fontId="1" type="noConversion"/>
  </si>
  <si>
    <t>维修保养期间应当计提折旧并计入当期成本费用</t>
    <phoneticPr fontId="1" type="noConversion"/>
  </si>
  <si>
    <t>按实际成本调整原暂估价值的，应当同时调整原已计提的折旧额</t>
    <phoneticPr fontId="1" type="noConversion"/>
  </si>
  <si>
    <t>已达到预定可使用状态并已办理竣工决算，但尚未投入使用，则不应计提折旧</t>
    <phoneticPr fontId="1" type="noConversion"/>
  </si>
  <si>
    <t>D</t>
    <phoneticPr fontId="1" type="noConversion"/>
  </si>
  <si>
    <t>本题考核固定资产折旧的会计处理。办理竣工决算后按实际成本调整原暂估价值，但不需要调整原已计提的折旧；已达到预定可使用状态并已办理竣工决算的固定资产，应当计提折旧。</t>
    <phoneticPr fontId="1" type="noConversion"/>
  </si>
  <si>
    <t>下列固定资产中应计提折旧的有（　　）。</t>
    <phoneticPr fontId="1" type="noConversion"/>
  </si>
  <si>
    <t>未提足旧提前报废的固定资产</t>
    <phoneticPr fontId="1" type="noConversion"/>
  </si>
  <si>
    <t>无偿提供给职工使用的固定资产</t>
    <phoneticPr fontId="1" type="noConversion"/>
  </si>
  <si>
    <t>已达到预定可使用状态但尚未交付使用的固定资产</t>
    <phoneticPr fontId="1" type="noConversion"/>
  </si>
  <si>
    <t>按照规定单独估价作为固定资产入账的土地</t>
    <phoneticPr fontId="1" type="noConversion"/>
  </si>
  <si>
    <t>AB</t>
    <phoneticPr fontId="1" type="noConversion"/>
  </si>
  <si>
    <t>固定资产准则规定：企业应对 所有 的固定资产计提折旧。但是，这这些除外：
- 已提足折旧仍继续使用的固定资产
- 单独计价入账的土地
- 更新改造过程停止使用 的固定资产
- 提前报废 的固定资产</t>
    <phoneticPr fontId="1" type="noConversion"/>
  </si>
  <si>
    <t>下列关于固定资产折旧会计处理的表述中，正确的有(     )。</t>
    <phoneticPr fontId="1" type="noConversion"/>
  </si>
  <si>
    <t>处于季节性修理过程中的固定资产在修理期间应停止计提折旧</t>
    <phoneticPr fontId="1" type="noConversion"/>
  </si>
  <si>
    <t>已达到预定可使用状态但尚未办理竣工决算的固定资产应当按暂估价值计提折旧</t>
    <phoneticPr fontId="1" type="noConversion"/>
  </si>
  <si>
    <t>自用固定资产转为成本模式后续计量的投资性房地产后仍应计提折旧</t>
    <phoneticPr fontId="1" type="noConversion"/>
  </si>
  <si>
    <t>与固定资产有关的经济利益预期消耗方式发生重大改变的，应当调整折旧方法</t>
    <phoneticPr fontId="1" type="noConversion"/>
  </si>
  <si>
    <t>本题考核固定资产折旧的会计处理。
选项A错误，处理季节性修理过程中的固定资产在修理期间应继续计提折旧；
已达到预定可使用状态但尚未办理竣工决算的固定资产应当按暂估价值计提折旧，选项B正确；自用固定资产转为成本模式后续计量的投资性房地产后仍应计提折旧，选项C正确；
与固定资产有关的经济利益预期消耗方式发生重大改变的，应当调整折旧方法，选项D正确。</t>
    <phoneticPr fontId="1" type="noConversion"/>
  </si>
  <si>
    <t>下列资产中，不需要计提折旧的有(     )。</t>
    <phoneticPr fontId="1" type="noConversion"/>
  </si>
  <si>
    <t>已划分为持有待售的固定资产</t>
    <phoneticPr fontId="1" type="noConversion"/>
  </si>
  <si>
    <t>作为投资性房地产以公允价值模式进行后续计量的已出租厂房</t>
    <phoneticPr fontId="1" type="noConversion"/>
  </si>
  <si>
    <t>因产品市场不景气尚未投入使用的外购机器设备</t>
    <phoneticPr fontId="1" type="noConversion"/>
  </si>
  <si>
    <t>已经完工投入使用但尚未办理竣工决算的自建厂房</t>
    <phoneticPr fontId="1" type="noConversion"/>
  </si>
  <si>
    <t>AB</t>
    <phoneticPr fontId="1" type="noConversion"/>
  </si>
  <si>
    <t>本题考核固定资产计提折旧的范围。
选项C，未使用固定资产仍需计提折旧，其折旧金额应当计入管理费用；
选项D，已经完工投入使用但尚未竣工结算的在建工程在完工时应当转入固定资产，按照暂估价值入账并相应的计提折旧。</t>
    <phoneticPr fontId="1" type="noConversion"/>
  </si>
  <si>
    <t>企业出售固定资产所产生的利得或损失，不会影响企业的营业利润。</t>
    <phoneticPr fontId="1" type="noConversion"/>
  </si>
  <si>
    <t>×</t>
    <phoneticPr fontId="1" type="noConversion"/>
  </si>
  <si>
    <t>本题考核固定资产处置的会计处理。企业出售固定资产所产生的利得或损失，计入资产处置损益，会影响企业的营业利润。</t>
    <phoneticPr fontId="1" type="noConversion"/>
  </si>
  <si>
    <t>下列各项中，不会直接影响固定资产处置净损益的是（ ）。</t>
    <phoneticPr fontId="1" type="noConversion"/>
  </si>
  <si>
    <t>已计提的固定资产减值准备</t>
    <phoneticPr fontId="1" type="noConversion"/>
  </si>
  <si>
    <t>已计提的固定资产累计折旧</t>
    <phoneticPr fontId="1" type="noConversion"/>
  </si>
  <si>
    <t>固定资产的弃置费用</t>
    <phoneticPr fontId="1" type="noConversion"/>
  </si>
  <si>
    <t>固定资产的原价</t>
    <phoneticPr fontId="1" type="noConversion"/>
  </si>
  <si>
    <t>C</t>
    <phoneticPr fontId="1" type="noConversion"/>
  </si>
  <si>
    <t>本题考核固定资产处置的会计处理。
固定资产的弃置费用是按照其现值计入固定资产成本影响的账面价值，而非弃置费用本身，因此选项C不会直接影响固定资产处置净损益。</t>
    <phoneticPr fontId="1" type="noConversion"/>
  </si>
  <si>
    <t>甲公司自行研发一项新技术，累计发生研究开发支出800万元，其中符合资本化条件的支出为500万元。研发成功后向国家专利局提出专利权申请并获得批准，实际发生注册登记费8万元；为使用该项新技术发生的有关人员培训费为6万元。不考虑其他因素，甲公司该项无形资产的入账价值为(     )万元。</t>
    <phoneticPr fontId="1" type="noConversion"/>
  </si>
  <si>
    <t>A</t>
    <phoneticPr fontId="1" type="noConversion"/>
  </si>
  <si>
    <t>本题考核自行研发无形资产的初始计量。甲公司该项无形资产入账价值=500+8=508(万元)，为使用该项新技术发生的有关人员培训费计入当期损益，不构成无形资产的开发成本。</t>
    <phoneticPr fontId="1" type="noConversion"/>
  </si>
  <si>
    <t>下列关于无形资产会计处理的表述中，正确的是（ ）。</t>
    <phoneticPr fontId="1" type="noConversion"/>
  </si>
  <si>
    <t>将自创的商誉确认为无形资产</t>
    <phoneticPr fontId="1" type="noConversion"/>
  </si>
  <si>
    <t>将已转让所有权的无形资产的账面价值计入其他业务成本</t>
    <phoneticPr fontId="1" type="noConversion"/>
  </si>
  <si>
    <t>将预期不能为企业带来经济利益的无形资产账面价值计入管理费用</t>
    <phoneticPr fontId="1" type="noConversion"/>
  </si>
  <si>
    <t>将以支付土地出让金方式取得的自用土地使用权单独确认为无形资产</t>
    <phoneticPr fontId="1" type="noConversion"/>
  </si>
  <si>
    <t>D</t>
    <phoneticPr fontId="1" type="noConversion"/>
  </si>
  <si>
    <t>本题考核无形资产的确认。
选项A说法错误，自创商誉因为其不能可靠确定，所以不能作为无形资产核算；
选项B说法错误，属于无形资产处置，那么应该将账面价值结转，然后按照公允价值与账面价值之间的差额，确认资产处置损益；
选项C说法错误，将预期不能为企业带来经济利益的无形资产账面价值计入“营业外支出”；
选项D说法正确，应该作为无形资产核算。</t>
    <phoneticPr fontId="1" type="noConversion"/>
  </si>
  <si>
    <t>下列各项关于企业土地使用权的会计处理的表述中，正确的有（   ）。</t>
    <phoneticPr fontId="1" type="noConversion"/>
  </si>
  <si>
    <t>工业企业持有并准备增值后转让的土地使用权作为投资性房地产核算</t>
    <phoneticPr fontId="1" type="noConversion"/>
  </si>
  <si>
    <t>工业企业将购入的用于建造办公楼的土地使用权作为无形资产核算</t>
    <phoneticPr fontId="1" type="noConversion"/>
  </si>
  <si>
    <t>工业企业将以经营租赁方式租出的土地使用权作为无形资产核算</t>
    <phoneticPr fontId="1" type="noConversion"/>
  </si>
  <si>
    <t>房地产开发企业将购入的用于建造商品房的土地使用权作为存货核算</t>
    <phoneticPr fontId="1" type="noConversion"/>
  </si>
  <si>
    <t>ABD</t>
    <phoneticPr fontId="1" type="noConversion"/>
  </si>
  <si>
    <t>本题考核不同情况下土地使用权的会计处理。工业企业将土地使用权以经营租赁方式出租作为投资性房地产核算，选项C说法错误。</t>
    <phoneticPr fontId="1" type="noConversion"/>
  </si>
  <si>
    <t>北方公司为从事房地产开发的上市公司，2008年1月1日，外购位于甲地块上的一栋写字楼，作为自用办公楼，甲地块的土地使用权能够单独计量；2008年3月1日，购入乙地块和丙地块，分别用于开发对外出售的住宅楼和写字楼，至2009年12月31日，该住宅楼和写字楼尚未开发完成；2009年1月1日，购入丁地块，作为办公区的绿化用地，至2009年12月31日，丁地块的绿化已经完成，假定不考虑其他因素，下列各项中，北方公司2009年12月31日不应单独确认为无形资产（土地使用权）的有（ ）。</t>
    <phoneticPr fontId="1" type="noConversion"/>
  </si>
  <si>
    <t>甲地块的土地使用权</t>
    <phoneticPr fontId="1" type="noConversion"/>
  </si>
  <si>
    <t>乙地块的土地使用权</t>
    <phoneticPr fontId="1" type="noConversion"/>
  </si>
  <si>
    <t>丙地块的土地使用权</t>
    <phoneticPr fontId="1" type="noConversion"/>
  </si>
  <si>
    <t>丁地块的土地使用权</t>
    <phoneticPr fontId="1" type="noConversion"/>
  </si>
  <si>
    <t>BC</t>
    <phoneticPr fontId="1" type="noConversion"/>
  </si>
  <si>
    <t>本题考核无形资产的初始确认。乙地块和丙地块均用于建造对外出售的房屋建筑物，所以这两地块土地使用权应该计入所建造的房屋建筑物成本，选项BC正确。</t>
    <phoneticPr fontId="1" type="noConversion"/>
  </si>
  <si>
    <t>甲企业购入一项土地使用权并用于开发建造一栋自用厂房，该土地使用权的取得成本应当计入厂房的建造成本（   ）。</t>
    <phoneticPr fontId="1" type="noConversion"/>
  </si>
  <si>
    <t>本题考核土地使用权的初始确认。甲企业购入一项土地使用权并用于开发建造一栋自用厂房，该土地使用权应作为无形资产核算，在厂房建造期间将无形资产的摊销计入厂房的成本，建造完成后无形资产的摊销计入当期损益</t>
    <phoneticPr fontId="1" type="noConversion"/>
  </si>
  <si>
    <t>下列关于无形资产初始计量的表述中错误的是（   ）。</t>
    <phoneticPr fontId="1" type="noConversion"/>
  </si>
  <si>
    <t>通过政府补助取得的无形资产，应当按照公允价值入账，公允价值不能可靠取得的，按照名义金额入账</t>
    <phoneticPr fontId="1" type="noConversion"/>
  </si>
  <si>
    <t>外购无形资产超过正常信用条件延期支付价款，实质上具有融资性质的，应按支付购买总价款入账</t>
    <phoneticPr fontId="1" type="noConversion"/>
  </si>
  <si>
    <t>投资者投入的无形资产，应当按照投资合同或协议约定的价值入账，但投资合同或协议约定价值不公允的，应按无形资产的公允价值入账</t>
    <phoneticPr fontId="1" type="noConversion"/>
  </si>
  <si>
    <t>外购无形资产的成本，包括购买价款、相关税费以及直接归属于使该项资产达到预定用途所发生的其他支出。</t>
    <phoneticPr fontId="1" type="noConversion"/>
  </si>
  <si>
    <t>B</t>
    <phoneticPr fontId="1" type="noConversion"/>
  </si>
  <si>
    <t>本题考核无形资产的初始计量。购买无形资产的价款超过正常信用条件延期支付，实质上具有融资性质的，无形资产的成本以购买价款的现值为基础确定，选项B错误。</t>
    <phoneticPr fontId="1" type="noConversion"/>
  </si>
  <si>
    <t>长江公司为一家多元化经营的综合性集团公司，不考虑其他因素，其纳入合并范围的下列子公司对所持有土地使用权的会计处理中，不符合会计准则规定的是 (    )。</t>
    <phoneticPr fontId="1" type="noConversion"/>
  </si>
  <si>
    <t>子公司甲为房地产开发企业，将土地使用权取得成本计入所建造商品房成本</t>
    <phoneticPr fontId="1" type="noConversion"/>
  </si>
  <si>
    <t>子公司乙将取得的用于建造厂房的土地使用权在建造期间的摊销计入当期管理费用</t>
    <phoneticPr fontId="1" type="noConversion"/>
  </si>
  <si>
    <t>子公司丙将持有的土地使用权对外出租，租赁期开始日停止摊销并转为采用公允价值进行后续计量</t>
    <phoneticPr fontId="1" type="noConversion"/>
  </si>
  <si>
    <t>子公司丁将用作办公用房的外购房屋价款按照房屋建筑物和土地使用权的相对公允价值分别确认为固定资产和无形资产，采用不同的年限计提折旧或摊销</t>
    <phoneticPr fontId="1" type="noConversion"/>
  </si>
  <si>
    <t>B</t>
    <phoneticPr fontId="1" type="noConversion"/>
  </si>
  <si>
    <t>本题考核不同情况下土地使用权的会计处理。厂房建造期间的土地使用权摊销计入厂房成本，不计入当期管理费用，选项B错误。</t>
    <phoneticPr fontId="1" type="noConversion"/>
  </si>
  <si>
    <t>20×2年1月1日，甲公司从乙公司购入一项无形资产，由于资金周转紧张，甲公司与乙公司协议以分期付款方式支付款项。协议约定：该无形资产作价2000万元，甲公司每年年末付款400万元，分5年付清。假定银行同期贷款利率为5%，5年期5%利率的年金现值系数为4.3295。不考虑其他因素，下列甲公司与该无形资产相关的会计处理中，正确的有(    )。</t>
    <phoneticPr fontId="1" type="noConversion"/>
  </si>
  <si>
    <t>20×2年财务费用增加86.59万元</t>
    <phoneticPr fontId="1" type="noConversion"/>
  </si>
  <si>
    <t>20×3年财务费用增加70.92万元</t>
    <phoneticPr fontId="1" type="noConversion"/>
  </si>
  <si>
    <t>20×2年1月1日确认无形资产2000万元</t>
    <phoneticPr fontId="1" type="noConversion"/>
  </si>
  <si>
    <t>20×2年12月31日长期应付款列报为2000万元</t>
    <phoneticPr fontId="1" type="noConversion"/>
  </si>
  <si>
    <t>AB</t>
    <phoneticPr fontId="1" type="noConversion"/>
  </si>
  <si>
    <t>本题考核分期购入无形资产的会计处理。
（1）20×2年1月1日：
借：无形资产　         1731.8（=400×4.3295）
        未确认融资费用 268.2
贷：长期应付款　　  2000（=400×5）
（2）20×2年12月31日未确认融资费用摊销=1731.8×5%=86.59（万元）
          20×2年12月31日长期应付款账面价值＝（2 000－400）－（268.2－86.59）＝1418.39（万元）
（3）20×3年12月31日未确认融资费用摊销=1418.39×5%=70.92（万元）
         20×3年12月31日长期应付款账面价值（20×2年12月31日长期应付款列报）＝（2 000－400×2）－（268.2－86.59-70.92）＝1089.31（万元）</t>
    <phoneticPr fontId="1" type="noConversion"/>
  </si>
  <si>
    <t xml:space="preserve"> 下列关于无形资产的初始计量，表述正确的是（   ）。</t>
    <phoneticPr fontId="1" type="noConversion"/>
  </si>
  <si>
    <t>外购无形资产的成本，包括购买价款、相关税费及直接归属于该无形资产达到预定用途前所发生的专业服务费、为引入新产品进行宣传发生的广告费等</t>
    <phoneticPr fontId="1" type="noConversion"/>
  </si>
  <si>
    <t>投资者投入无形资产的成本，应当按照投资合同或协议约定的价值确定</t>
    <phoneticPr fontId="1" type="noConversion"/>
  </si>
  <si>
    <t>企业改变土地使用权用途，停止自用土地使用权而用于赚取租金或资本增值时，应将其转为投资性房地产</t>
    <phoneticPr fontId="1" type="noConversion"/>
  </si>
  <si>
    <t>房地产开发企业取得的土地使用权用于建造对外出售的房屋建筑物，土地使用权的账面价值不与地上建筑物合并计算总成本，应作为无形资产进行核算</t>
    <phoneticPr fontId="1" type="noConversion"/>
  </si>
  <si>
    <t>C</t>
    <phoneticPr fontId="1" type="noConversion"/>
  </si>
  <si>
    <t>本题考核无形资产的初始计量。
选项A，为引入新产品进行宣传发生的广告费不计入外购无形资产的成本。选项A说法错误。
选项 B，投资者投入无形资产的成本，应当按照投资合同或协议约定的价值确定，不公允的除外。选项 B 说法错误。
选项 D，房地产开发企业取得的土地使用权用于建造对外出售的房屋建筑物，相关土地使用权应当计入所建造的房屋建筑物成本。选项 D 说法错误。</t>
    <phoneticPr fontId="1" type="noConversion"/>
  </si>
  <si>
    <t>企业持有的下列土地使用权中,应确认为无形资产的有( )</t>
    <phoneticPr fontId="1" type="noConversion"/>
  </si>
  <si>
    <t>用于建造企业自用厂房的土地使用权</t>
    <phoneticPr fontId="1" type="noConversion"/>
  </si>
  <si>
    <t>用于建造对外出售商品房的土地使用权</t>
    <phoneticPr fontId="1" type="noConversion"/>
  </si>
  <si>
    <t>外购办公楼时能够单独计量的土地使用权</t>
    <phoneticPr fontId="1" type="noConversion"/>
  </si>
  <si>
    <t>已出租的土地使用权</t>
    <phoneticPr fontId="1" type="noConversion"/>
  </si>
  <si>
    <t>本题考核土地使用权的处理。房地产开发企业取得的土地使用权用于建造对外出售的房屋建筑物（商品房），相关的土地使用权应当计入所建造的房屋建筑物成本，选项B错误；已出租的土地使用权,应作为投资性房地产核算，选项D错误。因此，本题选项A、C正确。</t>
    <phoneticPr fontId="1" type="noConversion"/>
  </si>
  <si>
    <t>AC</t>
    <phoneticPr fontId="1" type="noConversion"/>
  </si>
  <si>
    <t>研究开发活动无法区分研究阶段和开发阶段的，当期发生的研究开发支出应在资产负债表日确认为（    ）。</t>
    <phoneticPr fontId="1" type="noConversion"/>
  </si>
  <si>
    <t>无形资产</t>
    <phoneticPr fontId="1" type="noConversion"/>
  </si>
  <si>
    <t>管理费用</t>
    <phoneticPr fontId="1" type="noConversion"/>
  </si>
  <si>
    <t>研发支出</t>
    <phoneticPr fontId="1" type="noConversion"/>
  </si>
  <si>
    <t>营业外支出</t>
    <phoneticPr fontId="1" type="noConversion"/>
  </si>
  <si>
    <t>B</t>
    <phoneticPr fontId="1" type="noConversion"/>
  </si>
  <si>
    <t>本题考核无形资产研发活动的会计处理。研究开发活动无法区分研究阶段和开发阶段的支出，应当将发生的研究开发支出在发生时费用化，计入当期损益即管理费用。</t>
    <phoneticPr fontId="1" type="noConversion"/>
  </si>
  <si>
    <t>下列关于企业内部研发支出会计处理的表述中，正确的有(     )。</t>
    <phoneticPr fontId="1" type="noConversion"/>
  </si>
  <si>
    <t>开发阶段的支出，满足资本化条件的，应予以资本化</t>
    <phoneticPr fontId="1" type="noConversion"/>
  </si>
  <si>
    <t>无法合理分配的多项开发活动所发生的共同支出，应全部予以费用化</t>
    <phoneticPr fontId="1" type="noConversion"/>
  </si>
  <si>
    <t>无法区分研究阶段和开发阶段的支出，应全部予以费用化</t>
    <phoneticPr fontId="1" type="noConversion"/>
  </si>
  <si>
    <t>研究阶段的支出，应全部予以费用化</t>
    <phoneticPr fontId="1" type="noConversion"/>
  </si>
  <si>
    <t>ABCD</t>
    <phoneticPr fontId="1" type="noConversion"/>
  </si>
  <si>
    <t>本题考核自行研发无形资产的会计处理。自行研发的无形资产，研究阶段的支出应全部予以费用化，开发阶段的支出，满足资本化条件的，应予以资本化，无法区分研究阶段和开发阶段的支出，应全部予以费用化；无法合理分配的多项开发活动所发生的共同支出，应全部予以费用化。因此，本题选项ABCD全部正确。</t>
    <phoneticPr fontId="1" type="noConversion"/>
  </si>
  <si>
    <t>2015年6月30日，甲公司自行研发成功一项无形资产，满足资本化条件的研发支出80万元，不满足资本化条件的研发支出20万元。2015年7月1日该项无形资产投入使用，预计使用寿命为10年，采用直线法按月摊销。2015年末甲公司预计该项无形资产的可收回金额为70万元。假定不考虑其他因素，则2015年度甲公司研发、使用该项无形资产对当期利润总额的影响金额是（ ）万元。</t>
    <phoneticPr fontId="1" type="noConversion"/>
  </si>
  <si>
    <t>C</t>
    <phoneticPr fontId="1" type="noConversion"/>
  </si>
  <si>
    <t>本题考核自行研发无形资产的会计处理。该项无形资产对当期利润总额的影响金额=不满足资本化条件的研发支出20 +形成无形资产当期摊销额+当期计提的无形资产减值准备=20+80/10×0.5+[80- (80/10) ×0.5-70]=30（万元）。</t>
    <phoneticPr fontId="1" type="noConversion"/>
  </si>
  <si>
    <t>下列关于内部研发无形资产的会计处理的表述中，错误的是（　）。</t>
    <phoneticPr fontId="1" type="noConversion"/>
  </si>
  <si>
    <t>研究阶段发生的符合资本化条件的支出可以计入无形资产成本</t>
    <phoneticPr fontId="1" type="noConversion"/>
  </si>
  <si>
    <t>开发阶段发生的符合资本化条件的支出应计入无形资产成本</t>
    <phoneticPr fontId="1" type="noConversion"/>
  </si>
  <si>
    <t>研究阶段发生的支出应全部费用化</t>
    <phoneticPr fontId="1" type="noConversion"/>
  </si>
  <si>
    <t>开发阶段发生的未满足资本化条件的支出应计入当期损益</t>
    <phoneticPr fontId="1" type="noConversion"/>
  </si>
  <si>
    <t>A</t>
    <phoneticPr fontId="1" type="noConversion"/>
  </si>
  <si>
    <t>本题考核自行研发无形资产资本化的确认。研究阶段的支出应当费用化，计入当期损益，不会出现符合资本化条件的情形，选项A错误，选项C正确；开发阶段发生的符合资本化条件的支出应计入无形资产成本，未满足资本化条件的支出应计入当期损益，选项B、选项D正确，本题要求选择错误选项，所以应选A。</t>
    <phoneticPr fontId="1" type="noConversion"/>
  </si>
  <si>
    <t>甲公司2×18年1月开始研发一项新技术，2×19年1月进入开发阶段，2×19年12月31日完成开发并申请了专利。该项目2×18年发生研究费用600万元，截至2×19年末累计发生研发费用1600万元，其中符合资本化条件的金额为1000万元，按照税法规定，研发支出可按实际支出的175%税前抵扣。不考虑其他因素，下列各项关于甲公司上述研发项目会计处理的表述中，正确的是（   ）。</t>
    <phoneticPr fontId="1" type="noConversion"/>
  </si>
  <si>
    <t>将研发项目发生的研究费用确认为长期待摊费用</t>
    <phoneticPr fontId="1" type="noConversion"/>
  </si>
  <si>
    <t>实际发生的研发费用与其可予税前抵扣金额的差额确认递延所得税资产</t>
    <phoneticPr fontId="1" type="noConversion"/>
  </si>
  <si>
    <t>自符合资本化条件起至达到预定用途时所发生的研发费用资本化计入无形资产</t>
    <phoneticPr fontId="1" type="noConversion"/>
  </si>
  <si>
    <t>研发项目在达到预定用途后，将所发生全部研究和开发费用可予以税前抵扣金额的所得税影响额确认为所得税费用</t>
    <phoneticPr fontId="1" type="noConversion"/>
  </si>
  <si>
    <t>本题考核自行研发无形资产的会计处理。
企业自行研究开发项目，应当区分研究阶段与开发阶段分别进行核算。
研究阶段的支出应计入当期损益；开发阶段的支出满足资本化条件时计入无形资产的成本，选项A错误、选项C正确；
费用化部分加计扣除产生永久性差异，不确认递延所得税资产；资本化部分加计摊销，产生可抵扣暂时性差异，但也不确认递延所得税资产，选项B错误；
企业研发项目因加计摊销而形成的暂时性差异并不是产生于企业合并，且初始确认时既不影响会计利润也不影响应纳税所得额，因此不需要确认所得税影响，选项D错误。</t>
    <phoneticPr fontId="1" type="noConversion"/>
  </si>
  <si>
    <t>20×7年1月1日，A公司董事会批准自行研发一项新技术，该公司董事会认为，研发该项目具有可靠的技术和财务等资源的支持，且一旦研发成功将降低该公司的生产成本。该研发项目研究阶段发生支出20万元；开发阶段共发生材料支出100万元，人工费用60万元，研发中使用另外一项专利技术的摊销额2万元，以银行存款支付其他费用10万元，假设开发阶段的支出均符合资本化条件。20×8年3月31日，该项研发项目达到预定用途，向国家专利局提出专利申请并获得批准，实际发生注册登记费5万元，为使用该技术发生有关人员培训费3万元，已知在达到预定用途前发生的可辨认的无效和初始运作损失1万元，该无形资产的入账价值是（   ）万元。</t>
    <phoneticPr fontId="1" type="noConversion"/>
  </si>
  <si>
    <t>B</t>
    <phoneticPr fontId="1" type="noConversion"/>
  </si>
  <si>
    <t>本题考核自行研发无形资产的初始入账价值。
该无形资产的入账价值=100+60+2+10+5=177（万元）
对于企业内部研究开发项目，研究阶段的支出，应当在发生时全部费用化，计入当期损益（管理费用）。内部开发活动形成的无形资产，其可直接归属的成本包括：开发该无形资产时耗费的材料、劳务成本、注册费、在开发该无形资产过程中使用的其他专利权和特许权的摊销、按照借款费用的处理原则可资本化的利息支出等。在达到预定可使用用途前的可辨认的无效和初始运作损失，为运行该无形资产发生的培训支出，不构成无形资产的开发成本。</t>
    <phoneticPr fontId="1" type="noConversion"/>
  </si>
  <si>
    <t>下列对于内部研究开发费用的计量和会计处理，正确的是（   ）。</t>
    <phoneticPr fontId="1" type="noConversion"/>
  </si>
  <si>
    <t>AD</t>
    <phoneticPr fontId="1" type="noConversion"/>
  </si>
  <si>
    <t>企业自行开发无形资产发生的研发支出，不满足资本化条件的，计入“研发支出——费用化支出”</t>
    <phoneticPr fontId="1" type="noConversion"/>
  </si>
  <si>
    <t>无法区分研究阶段和开发阶段的支出，应全部予以资本化，计入“研发支出——资本化支出”</t>
    <phoneticPr fontId="1" type="noConversion"/>
  </si>
  <si>
    <t>对于研究阶段的支出，应区分是否符合资本化条件，满足资本化条件的，应予以资本化，不满足资本化条件的，予以费用化</t>
    <phoneticPr fontId="1" type="noConversion"/>
  </si>
  <si>
    <t>对于同一项无形资产在开发过程中达到资本化条件之前已经费用化计入当期损益的支出不再调整</t>
    <phoneticPr fontId="1" type="noConversion"/>
  </si>
  <si>
    <t>本题考核无形资产的计量和会计处理。
选项 A，企业自行开发无形资产发生的研发支出，不满足资本化条件的，应全部予以费用化；选项 A 说法正确。
选项 B，无法区分研究阶段和开发阶段的支出，应全部予以费用化；选项 B 说法错误；
选项 C，对于研究阶段的支出，应全部予以费用化；选项 C 说法错误；
选项 D，内部开发无形资产的成本仅包括在满足资本化条件的时点至无形资产达到预定用途前发生的支出总和，对于同一项无形资产在开发过程中达到资本化条件之前已经费用化计入当期损益的支出不再调整。选项 D 说法正确。
因此，正确答案为选项 AD。</t>
    <phoneticPr fontId="1" type="noConversion"/>
  </si>
  <si>
    <t>下列关于企业无形资产摊销的会计处理中，正确的有( 　　)。</t>
    <phoneticPr fontId="1" type="noConversion"/>
  </si>
  <si>
    <t>对使用寿命有限的无形资产选择的摊销方法应当一致地运用于不同会计期间</t>
    <phoneticPr fontId="1" type="noConversion"/>
  </si>
  <si>
    <t>无法可靠确定与其有关的经济利益预期消耗方式的，应采用直线法进行摊销</t>
    <phoneticPr fontId="1" type="noConversion"/>
  </si>
  <si>
    <t>使用寿命不确定的无形资产按照不低于10年的期限进行摊销</t>
    <phoneticPr fontId="1" type="noConversion"/>
  </si>
  <si>
    <t>使用寿命有限的无形资产自可供使用时起开始摊销</t>
    <phoneticPr fontId="1" type="noConversion"/>
  </si>
  <si>
    <t>ABD</t>
    <phoneticPr fontId="1" type="noConversion"/>
  </si>
  <si>
    <t>本题考核使用寿命有限的无形资产摊销。
企业选择的无形资产摊销方法，应当能够反映与该项无形资产有关的经济利益的预期消耗方式，并一致的运用于不同会计期间，选项A说法正确；
无法可靠确定与其有关的经济利益预期消耗方式的，应采用直线法进行摊销，选项B正确；
使用寿命不确定的无形资产，会计上不进行摊销，选项C说法错误；
使用寿命有限的无形资产应自可供使用时起开始摊销，选项D正确。</t>
    <phoneticPr fontId="1" type="noConversion"/>
  </si>
  <si>
    <t>下列关于使用寿命有限的无形资产摊销的表述中，正确的有(     )。</t>
    <phoneticPr fontId="1" type="noConversion"/>
  </si>
  <si>
    <t>自达到预定用途的下月起开始摊销</t>
    <phoneticPr fontId="1" type="noConversion"/>
  </si>
  <si>
    <t>至少应于每年年末对使用寿命进行复核</t>
    <phoneticPr fontId="1" type="noConversion"/>
  </si>
  <si>
    <t>有特定产量限制的经营特许权，应采用产量法进行摊销</t>
    <phoneticPr fontId="1" type="noConversion"/>
  </si>
  <si>
    <t>无法可靠确定与其有关的经济利益预期消耗方式的，应采用直线法进行摊销</t>
    <phoneticPr fontId="1" type="noConversion"/>
  </si>
  <si>
    <t>BCD</t>
    <phoneticPr fontId="1" type="noConversion"/>
  </si>
  <si>
    <t>本题考核使用寿命有限的无形资产的摊销。
无形资产应自达到预定用途的当月开始摊销，选项A说法错误。
对于商誉和使用寿命有限的无形资产，至少应于每年年末对使用寿命进行复核，选项B正确。
对于有特定产量限制的经营特许权，应采用产量法进行摊销，选项C正确。
无法可靠确定其预期消耗方式的，应当采用直线法进行摊销。选项D正确。</t>
    <phoneticPr fontId="1" type="noConversion"/>
  </si>
  <si>
    <t>下列各项关于无形资产会计处理的表述中，正确的有（   ）。</t>
    <phoneticPr fontId="1" type="noConversion"/>
  </si>
  <si>
    <t>使用寿命不确定的无形资产，至少应于每年年末进行减值测试</t>
    <phoneticPr fontId="1" type="noConversion"/>
  </si>
  <si>
    <t>无形资产计提的减值准备，在以后期间可以转回</t>
    <phoneticPr fontId="1" type="noConversion"/>
  </si>
  <si>
    <t>使用寿命不确定的无形资产，不应计提摊销</t>
    <phoneticPr fontId="1" type="noConversion"/>
  </si>
  <si>
    <t>使用寿命有限，摊销方法由年限平均法变更为产量法，按会计估计变更处理</t>
    <phoneticPr fontId="1" type="noConversion"/>
  </si>
  <si>
    <t>ACD</t>
    <phoneticPr fontId="1" type="noConversion"/>
  </si>
  <si>
    <t>本题考核无形资产后续的会计处理。无形资产计提的减值准备在以后持有期间不可以转回，选项B说法错误。</t>
    <phoneticPr fontId="1" type="noConversion"/>
  </si>
  <si>
    <t>下列关于专门用于产品生产的专利权会计处理的表述中，正确的有（    ）。</t>
    <phoneticPr fontId="1" type="noConversion"/>
  </si>
  <si>
    <t>该专利权的摊销金额应计入管理费用</t>
    <phoneticPr fontId="1" type="noConversion"/>
  </si>
  <si>
    <t>该专利权的使用寿命至少应于每年年度终了进行复核</t>
    <phoneticPr fontId="1" type="noConversion"/>
  </si>
  <si>
    <t>该专利权的摊销方法至少应于每年年度终了进行复核</t>
    <phoneticPr fontId="1" type="noConversion"/>
  </si>
  <si>
    <t>该专利权应以成本减去累计摊销和减值准备后的余额进行后续计量</t>
    <phoneticPr fontId="1" type="noConversion"/>
  </si>
  <si>
    <t>BCD</t>
    <phoneticPr fontId="1" type="noConversion"/>
  </si>
  <si>
    <t>本题考核专利权的摊销。专门用于产品生产的专利权摊销时应计入制造费用或生产成本，选项A说法错误。</t>
    <phoneticPr fontId="1" type="noConversion"/>
  </si>
  <si>
    <t>甲公司自2016年初自行研发一项非专利技术，2017年7月该项目达到预定用途形成无形资产并交付管理部门使用。2016年在研发过程中发生材料费220万元、人工工资60万元以及其他费用20万元，其中符合资本化条件的支出为240万元。2017年发生材料费110万元、人工工资40万元以及其他费用30万元，其中符合资本化条件的支出为120万元。该项无形资产的摊销期限为5年，预计净残值为零，按直线法推销。该事项对甲公司2017年度损益的影响金额为（　　）万元。</t>
    <phoneticPr fontId="1" type="noConversion"/>
  </si>
  <si>
    <t>D</t>
    <phoneticPr fontId="1" type="noConversion"/>
  </si>
  <si>
    <t>本题考核无形资产的确认及摊销。自行开发的无形资产，其成本包括自满足无形资产确认条件，以及在其开发阶段支出满足确认为无形资产的条件后至达到预定用途前所发生的支出总额，但是对于以前期间已经费用化的支出不再调整。（240+120）/5×6/12+（110+40+30-120）=96（万元）</t>
    <phoneticPr fontId="1" type="noConversion"/>
  </si>
  <si>
    <t>下列关于无形资产摊销会计处理的表述中，正确的有（ ）。</t>
    <phoneticPr fontId="1" type="noConversion"/>
  </si>
  <si>
    <t>本题考核无形资产摊销的会计处理。
选项C，不能为企业带来经济利益的无形资产，应当将该无形资产的账面价值予以报废，计入营业外支出科目；
选项D，无形资产的摊销金额一般应确认为当期损益，但是无形资产的摊销与所含经济利益预期实现方式有关，有些特殊的情况下无形资产的摊销金额可以计入产品或其他资产成本。</t>
    <phoneticPr fontId="1" type="noConversion"/>
  </si>
  <si>
    <t>使用寿命不确定的无形资产不应摊销</t>
    <phoneticPr fontId="1" type="noConversion"/>
  </si>
  <si>
    <t>企业无形资产摊销应当自无形资产可供使用时起，至不再作为无形资产确认时止</t>
    <phoneticPr fontId="1" type="noConversion"/>
  </si>
  <si>
    <t>不能为企业带来经济利益的无形资产，应将其账面价值全部摊销计入管理费用</t>
    <phoneticPr fontId="1" type="noConversion"/>
  </si>
  <si>
    <t>无形资产的摊销额应当全部计入当期损益</t>
    <phoneticPr fontId="1" type="noConversion"/>
  </si>
  <si>
    <t>AB</t>
    <phoneticPr fontId="1" type="noConversion"/>
  </si>
  <si>
    <t>企业应当在每个会计期末对使用寿命不确定的无形资产的使用寿命进行复核，如果有证据表明该无形资产的使用寿命是有限的，应当作为会计政策变更进行处理，并按使用寿命有限的无形资产的处理原则进行会计处理。（   ）</t>
    <phoneticPr fontId="1" type="noConversion"/>
  </si>
  <si>
    <t>本题考核无形资产使用寿命的确定。企业应当在每个会计期末对使用寿命不确定的无形资产的使用寿命进行复核，如果有证据表明该无形资产的使用寿命是有限的，应当作为会计估计变更进行处理，并按使用寿命有限的无形资产的处理原则进行会计处理。</t>
    <phoneticPr fontId="1" type="noConversion"/>
  </si>
  <si>
    <t>×</t>
    <phoneticPr fontId="1" type="noConversion"/>
  </si>
  <si>
    <t>下列各项关于企业无形资产残值会计处理的表述中,正确的有() 。</t>
    <phoneticPr fontId="1" type="noConversion"/>
  </si>
  <si>
    <t>无形资产残值的估计应以其处置时的可收回金额为基础</t>
    <phoneticPr fontId="1" type="noConversion"/>
  </si>
  <si>
    <t>预计残值发生变化的,应对已计提的摊销金额进行调整</t>
    <phoneticPr fontId="1" type="noConversion"/>
  </si>
  <si>
    <t xml:space="preserve">无形资产预计残值高于其账面价值时,不再摊销 </t>
    <phoneticPr fontId="1" type="noConversion"/>
  </si>
  <si>
    <t>资产负债表日应当对无形资产的残值进行复核</t>
    <phoneticPr fontId="1" type="noConversion"/>
  </si>
  <si>
    <t>本题考核无形资产残值的会计处理。预计净残值发生变化的,属于会计估计变更,采用未来适用法,无须对已计提的摊销金额进行调整,故选项B错误。</t>
    <phoneticPr fontId="1" type="noConversion"/>
  </si>
  <si>
    <t>2×18年1月1日，甲公司以银行存款240万元外购一项专利技术并立即投入使用，预计使用年限为5年、预计净残值为0，采用直线法摊销。2×19年1月1日，甲公司与乙公司签订协议，甲公司将于2×21年1月1日以100万元的价格向乙公司转让该专利技术，甲公司对该专利技术仍采用直线法摊销。不考虑其他因素，甲公司2×19年应对该专利技术计提摊销的金额为(   )万元。</t>
    <phoneticPr fontId="1" type="noConversion"/>
  </si>
  <si>
    <t>本题考核使用寿命有限的无形资产摊销。2×18年无形资产摊销金额=240/5=48(万元)，2×19年1月1日无形资产账面价值=240-48=192(万元)。由于甲公司签订协议于2×21年1月1日以100万元出售该无形资产，因此，无形资产尚可使用年限变为2年，预计净残值为100万元，2×19年无形资产摊销金额=(192-100)/2=46(万元)。所以，本题选项A正确。</t>
    <phoneticPr fontId="1" type="noConversion"/>
  </si>
  <si>
    <t>2×19年1月1日,甲公司以银行存款60万元外购一项法律保护期为10年的专利技术并立即投入使用。甲公司预计该专利技术在未来6年为其带来经济利益，采用直线法摊销。当日，甲公司与乙公司签订协议。甲公司将于2×21年1月1日以24万元的价格向乙公司转让该专利技术。不考虑其他因素。2×19年12月31日，甲公司该专利技术的账面价值为( )万元。</t>
    <phoneticPr fontId="1" type="noConversion"/>
  </si>
  <si>
    <t>C</t>
    <phoneticPr fontId="1" type="noConversion"/>
  </si>
  <si>
    <t>本题考核使用寿命有限的无形资产摊销。甲公司该项专利技术将于2×21年1月1日以24万元出售给乙公司，故其预计净残值为24万元，预计使用寿命为2年，2×19年12月31日该专利技术的账面价值=60-(60-24)/2=42(万元)。所以，本题选项C正确。</t>
    <phoneticPr fontId="1" type="noConversion"/>
  </si>
  <si>
    <t>无形资产预期不能为企业带来未来经济利益的，企业应当将其账面价值转入当期损益。（    ）</t>
    <phoneticPr fontId="1" type="noConversion"/>
  </si>
  <si>
    <t>√</t>
    <phoneticPr fontId="1" type="noConversion"/>
  </si>
  <si>
    <t>本题考核无形资产的处置。无形资产预期不能为企业带来未来经济利益的，企业应当将其账面价值转入当期损益。（营业外支出）</t>
    <phoneticPr fontId="1" type="noConversion"/>
  </si>
  <si>
    <t>单选题</t>
    <phoneticPr fontId="1" type="noConversion"/>
  </si>
  <si>
    <t>总题量</t>
    <phoneticPr fontId="1" type="noConversion"/>
  </si>
  <si>
    <t>下列关于无形资产后续计量的表述中，正确的有（ ）。</t>
    <phoneticPr fontId="1" type="noConversion"/>
  </si>
  <si>
    <t>至少应于每年年度终了对以前确定的无形资产残值进行复核</t>
    <phoneticPr fontId="1" type="noConversion"/>
  </si>
  <si>
    <t>应在每个会计期间对使用寿命不确定的无形资产的使用寿命进行复核</t>
    <phoneticPr fontId="1" type="noConversion"/>
  </si>
  <si>
    <t>至少应于每年年度终了对使用寿命有限的无形资产的使用寿命进行复核</t>
    <phoneticPr fontId="1" type="noConversion"/>
  </si>
  <si>
    <t>至少应于每年年度终了对使用寿命有限的无形资产的摊销方法进行复核</t>
    <phoneticPr fontId="1" type="noConversion"/>
  </si>
  <si>
    <t>ABCD</t>
    <phoneticPr fontId="1" type="noConversion"/>
  </si>
  <si>
    <t>本题考核无形资产使用寿命的复核。
企业应至少于每年年度终了对使用寿命有限的无形资产的使用寿命、摊销方法及预计净残值进行复核，选项 A、C 和 D 正确；企业应于每个会计期间对使用寿命不确定的无形资产的使用寿命进行复核，选项 B 正确。</t>
    <phoneticPr fontId="1" type="noConversion"/>
  </si>
  <si>
    <t>以下各项中，不属于投资性房地产的资产是（）。</t>
    <phoneticPr fontId="1" type="noConversion"/>
  </si>
  <si>
    <t>企业计划用于出租但尚未出租的土地使用权</t>
    <phoneticPr fontId="1" type="noConversion"/>
  </si>
  <si>
    <t>企业租入后又转租给其他单位的建筑物</t>
    <phoneticPr fontId="1" type="noConversion"/>
  </si>
  <si>
    <t>企业将自有办公楼出租，按照租赁协议规定提供日常保安服务的</t>
    <phoneticPr fontId="1" type="noConversion"/>
  </si>
  <si>
    <t>企业拥有并自行经营的旅馆、饭店</t>
    <phoneticPr fontId="1" type="noConversion"/>
  </si>
  <si>
    <t>本题考核投资性房地产的范围。
投资性房地产的范围包括：已出租的土地使用权、持有并准备增值后转让的土地使用权及已出租的建筑物。</t>
    <phoneticPr fontId="1" type="noConversion"/>
  </si>
  <si>
    <t>企业将某项投资性房地产进行改扩建等再开发且将来仍作为投资性房地产的，再开发期间应继续将其作为投资性房地产，计提折旧或摊销。（  ）</t>
    <phoneticPr fontId="1" type="noConversion"/>
  </si>
  <si>
    <t>×</t>
    <phoneticPr fontId="1" type="noConversion"/>
  </si>
  <si>
    <t>本题考核投资性房地产的后续支出。企业将某项投资性房地产进行改扩建等再开发且将来仍作为投资性房地产的，再开发期间应继续将其作为投资性房地产，不计提折旧或摊销。</t>
    <phoneticPr fontId="1" type="noConversion"/>
  </si>
  <si>
    <t>企业对其分类为投资性房地产的写字楼进行日常维护所发生的相关支出,应当计入的财务报表项目是(         )。</t>
    <phoneticPr fontId="1" type="noConversion"/>
  </si>
  <si>
    <t>营业成本</t>
    <phoneticPr fontId="1" type="noConversion"/>
  </si>
  <si>
    <t>投资收益</t>
    <phoneticPr fontId="1" type="noConversion"/>
  </si>
  <si>
    <t>管理费用</t>
    <phoneticPr fontId="1" type="noConversion"/>
  </si>
  <si>
    <t>营业外支出</t>
    <phoneticPr fontId="1" type="noConversion"/>
  </si>
  <si>
    <t>A</t>
    <phoneticPr fontId="1" type="noConversion"/>
  </si>
  <si>
    <t>本题考核投资性房地产费用化后续支出的处理。对分类为投资性房地产的写字楼进行日常维护所发生的相关支出应计入其他业务成本,对应的报表项目为营业成本。（其他业务成本）</t>
    <phoneticPr fontId="1" type="noConversion"/>
  </si>
  <si>
    <t>投资性房地产的后续计量从成本模式转为公允价值模式的，转换日投资性房地产的公允价值高于其账面价值的差额会对下列财务报表项目产生影响的是（    ）。</t>
    <phoneticPr fontId="1" type="noConversion"/>
  </si>
  <si>
    <t>资本公积</t>
    <phoneticPr fontId="1" type="noConversion"/>
  </si>
  <si>
    <t>营业外收入</t>
    <phoneticPr fontId="1" type="noConversion"/>
  </si>
  <si>
    <t>未分配利润</t>
    <phoneticPr fontId="1" type="noConversion"/>
  </si>
  <si>
    <t>投资收益</t>
    <phoneticPr fontId="1" type="noConversion"/>
  </si>
  <si>
    <t>本题考核投资性房地产后续计量模式的变更。投资性房地产的后续计量由成本模式变更为公允价值模式的，变更时公允价值与账面价值的差额调整期初留存收益（盈余公积和未分配利润）。</t>
    <phoneticPr fontId="1" type="noConversion"/>
  </si>
  <si>
    <t>下列关于企业投资性房地产会计处理的表述中，正确的有(    )。</t>
    <phoneticPr fontId="1" type="noConversion"/>
  </si>
  <si>
    <t>自行建造的投资性房地产，按达到预定可使用状态前所发生的必要支出进行初始计量</t>
    <phoneticPr fontId="1" type="noConversion"/>
  </si>
  <si>
    <t>以成本模式进行后续计量的投资性房地产，计提的减值准备以后会计期间可以转回</t>
    <phoneticPr fontId="1" type="noConversion"/>
  </si>
  <si>
    <t>投资性房地产后续计量由成本模式转为公允价值模式时，其公允价值与账面价值的差额应计入当期损益</t>
    <phoneticPr fontId="1" type="noConversion"/>
  </si>
  <si>
    <t>满足投资性房地产确认条件的后续支出，应予以资本化</t>
    <phoneticPr fontId="1" type="noConversion"/>
  </si>
  <si>
    <t>AD</t>
    <phoneticPr fontId="1" type="noConversion"/>
  </si>
  <si>
    <t>本题考核投资性房地产的会计处理。
选项 B，投资性房地产计提的减值准备以后期间不得转回；
选项 C，投资性房地产成本模式转为公允价值模式应作为会计政策变更处理，公允价值与账面价值的差额，调整留存收益。</t>
    <phoneticPr fontId="1" type="noConversion"/>
  </si>
  <si>
    <t>下列关于投资性房地产后续计量的表述中，错误的有（   ）。</t>
    <phoneticPr fontId="1" type="noConversion"/>
  </si>
  <si>
    <t>采用公允价值模式进行后续计量的，资产负债表日其公允价值与账面余额的差额计入“其他综合收益”</t>
    <phoneticPr fontId="1" type="noConversion"/>
  </si>
  <si>
    <t>采用成本模式进行后续计量的，不需要计提折旧或摊销</t>
    <phoneticPr fontId="1" type="noConversion"/>
  </si>
  <si>
    <t>采用公允价值模式进行后续计量的，不允许再采用成本模式计量</t>
    <phoneticPr fontId="1" type="noConversion"/>
  </si>
  <si>
    <t>如果已经计提减值准备的投资性房地产的价值期后又得以恢复的，应在原计提范围内转回</t>
    <phoneticPr fontId="1" type="noConversion"/>
  </si>
  <si>
    <t>ABD</t>
    <phoneticPr fontId="1" type="noConversion"/>
  </si>
  <si>
    <t>本题考核投资性房地产的后续计量。
选项A，采用公允价值模式进行后续计量的投资性房地产，资产负债表日公允价值与账面价值的差额计入“公允价值变动损益”；
选项B，采用成本模式进行后续计量的投资性房地产，应当计提折旧或摊销；
选项D，投资性房地产减值准备一经计提，持有期间不允许转回；</t>
    <phoneticPr fontId="1" type="noConversion"/>
  </si>
  <si>
    <t>下列关于投资性房地产后续计量的表述中，错误的有（　　）。</t>
    <phoneticPr fontId="1" type="noConversion"/>
  </si>
  <si>
    <t>ABC</t>
    <phoneticPr fontId="1" type="noConversion"/>
  </si>
  <si>
    <t>采用公允价值模式进行后续计量的投资性房地产，期末公允价值低于其账面余额的差额应计入投资收益</t>
    <phoneticPr fontId="1" type="noConversion"/>
  </si>
  <si>
    <t>采用成本模式进行后续计量的投资性房地产按月计提的折旧额或摊销额，应计入管理费用</t>
    <phoneticPr fontId="1" type="noConversion"/>
  </si>
  <si>
    <t>采用公允价值模式进行后续计量的投资性房地产，应当计提减值准备</t>
    <phoneticPr fontId="1" type="noConversion"/>
  </si>
  <si>
    <t>采用公允价值模式进行后续计量的投资性房地产，当期取得的租金收入应计入其他业务收入</t>
    <phoneticPr fontId="1" type="noConversion"/>
  </si>
  <si>
    <t>本题考核投资性房地产的后续计量。
选项A，采用公允价值模式进行后续计量的投资性房地产，期末公允价值低于其账面余额的差额应计入公允价值变动损益；
选项B，采用成本模式进行后续计量的投资性房地产按月计提的折旧额或摊销额，应计入其他业务成本；
选项C，采用公允价值模式进行后续计量的投资性房地产不计提减值准备。</t>
    <phoneticPr fontId="1" type="noConversion"/>
  </si>
  <si>
    <t>关于投资性房地产的后续计量，下列说法正确的有（  ）。</t>
    <phoneticPr fontId="1" type="noConversion"/>
  </si>
  <si>
    <t>同一企业可以同时采用成本和公允价值两种模式对所有投资性房地产进行后续计量</t>
    <phoneticPr fontId="1" type="noConversion"/>
  </si>
  <si>
    <t>企业通常应当采用公允价值模式对投资性房地产进行后续计量</t>
    <phoneticPr fontId="1" type="noConversion"/>
  </si>
  <si>
    <t>公允价值模式计量的投资性房地产期末公允价值变动计入公允价值变动损益</t>
    <phoneticPr fontId="1" type="noConversion"/>
  </si>
  <si>
    <t>采用公允价值模式计量的投资性房地产，不计提折旧或摊销</t>
    <phoneticPr fontId="1" type="noConversion"/>
  </si>
  <si>
    <t>CD</t>
    <phoneticPr fontId="1" type="noConversion"/>
  </si>
  <si>
    <t>本题考核投资性房地产的后续计量。
选项 A，同一企业只能采用一种模式对所有投资性房地产进行后续计量，不得同时采用两种计量模式，因此选项 A 错误。
选项 B，企业通常应当采用成本模式对投资性房地产进行后续计量，因此，选项 B 错误。</t>
    <phoneticPr fontId="1" type="noConversion"/>
  </si>
  <si>
    <t>2×18年12月31日,甲公司以银行存款12000万元外购一栋写字楼并立即出租给乙公司使用,租期5年,每年末收取租金1000万元。该写字楼的预计使用年限为20年,预计净残值为零,采用年限平均法计提折旧。甲公司对投资性房地产采用成本模式进行后续计量。2×19年12月31日，该写字楼出现减值迹象，可收回金额为11200万元。不考虑其他因素，与该写字楼相关的交易或事项对甲公司2×19年度营业利润的影响金额为( )万元。</t>
    <phoneticPr fontId="1" type="noConversion"/>
  </si>
  <si>
    <t>C</t>
    <phoneticPr fontId="1" type="noConversion"/>
  </si>
  <si>
    <t>本题考核采用成本模式计量的投资性房地产。2×19年12月31日，减值测试前投资性房地产的账面价值=12000-12000÷20=11400（万元），可收回金额为11200元,应计提减值准备的金额=11400- 11200=200(万元)。与该写字楼相关的交易或事项对甲公司2×19年度营业利润的影响金额=租金收入1000-折旧金额12000/20-减值的金额200=200(万元)。因此，本题选项C正确。</t>
    <phoneticPr fontId="1" type="noConversion"/>
  </si>
  <si>
    <t>企业将自用房地产转为以公允价值模式计量的投资性房地产。下列关于转换日该房地产公允价值大于账面价值的差额的会计处理表述中，正确的是(     )。</t>
    <phoneticPr fontId="1" type="noConversion"/>
  </si>
  <si>
    <t>计入递延收益</t>
    <phoneticPr fontId="1" type="noConversion"/>
  </si>
  <si>
    <t>计入当期损益</t>
    <phoneticPr fontId="1" type="noConversion"/>
  </si>
  <si>
    <t>计入其他综合收益</t>
    <phoneticPr fontId="1" type="noConversion"/>
  </si>
  <si>
    <t>计入资本公积</t>
    <phoneticPr fontId="1" type="noConversion"/>
  </si>
  <si>
    <t>C</t>
    <phoneticPr fontId="1" type="noConversion"/>
  </si>
  <si>
    <t>本题考核投资性房地产的转换。企业将自用房地产转为公允价值模式计量的投资性房地产，当日公允价值大于账面价值的差额，应该计入其他综合收益。</t>
    <phoneticPr fontId="1" type="noConversion"/>
  </si>
  <si>
    <t>2011年7月1日，甲公司将一项按照成本模式进行后续计量的投资性房地产转换为固定资产。该资产在转换前的账面原价为4 000万元，已计提折旧200万元，已计提减值准备100万元，转换日的公允价值为3 850万元，假定不考虑其他因素，转换日甲公司应借记“固定资产”科目的金额为（    ）万元。</t>
    <phoneticPr fontId="1" type="noConversion"/>
  </si>
  <si>
    <t>D</t>
    <phoneticPr fontId="1" type="noConversion"/>
  </si>
  <si>
    <t>自用房地产转换为采用公允价值模式计量的投资性房地产，转换日该房地产公允价值大于账面价值的差额，正确的会计处理是（ ）。</t>
    <phoneticPr fontId="1" type="noConversion"/>
  </si>
  <si>
    <t>本题考核投资性房地产的转换。转换日甲公司应按转换前投资性房地产原价4 000万元作为转换后“固定资产”科目的借方金额。</t>
    <phoneticPr fontId="1" type="noConversion"/>
  </si>
  <si>
    <t>本题考核投资性房地产的转换。自用房地产转换为公允价值模式计量的投资性房地产时，转换日公允价值大于账面价值的差额计入“其他综合收益”科目。</t>
    <phoneticPr fontId="1" type="noConversion"/>
  </si>
  <si>
    <t>下列各项有关投资性房地产的会计处理的表述中，正确的是(   )。</t>
    <phoneticPr fontId="1" type="noConversion"/>
  </si>
  <si>
    <t>以成本模式后续计量的投资性房地产转换为存货，存货应按照转换日的公允价值计量，公允价值大于原账面价值的差额确认为其他综合收益</t>
    <phoneticPr fontId="1" type="noConversion"/>
  </si>
  <si>
    <t>以成本模式后续计量的投资性房地产转换为自用固定资产，自用固定资产应按照转换日的公允价值计量，公允价值小于原账面价值的差额确认为当期损益</t>
    <phoneticPr fontId="1" type="noConversion"/>
  </si>
  <si>
    <t>以存货转换为以公允价值模式后续计量的投资性房地产，投资性房地产应按照转换日的公允价值计量，公允价值小于存货账面价值的差额确认为当期损益</t>
    <phoneticPr fontId="1" type="noConversion"/>
  </si>
  <si>
    <t>以公允价值模式后续计量的投资性房地产转换为自用固定资产，自用固定资产应按照转换日的公允价值计量，公允价值大于账面价值的差额确认为其他综合收益</t>
    <phoneticPr fontId="1" type="noConversion"/>
  </si>
  <si>
    <t>本题考核投资性房地产的转换。
采用成本模式计量的投资性房地产转为非投资性房地产，按照该投资性房地产在转换日前的账面价值作为转换后的入账价值，因此选项A和选项B错误。
以公允价值模式后续计量的投资性房地产转换为自用固定资产，自用固定资产应按照转换日的公允价值计量，公允价值大于账面价值的差额确认为当期损益，因此选项D错误。【其他&gt;公允模式投房的收益才走其他综合收益】</t>
    <phoneticPr fontId="1" type="noConversion"/>
  </si>
  <si>
    <t>20×7年6月30日，甲公司与乙公司签订租赁合同，合同规定当日甲公司将一栋公允价值为5000万元，账面价值为3500万元的自用办公楼出租给乙公司，租赁期为1年，年租金为100万元。20×7年12月31日，该办公楼的公允价值为6000万元。20×8年6月30日，甲公司收回租赁期届满的办公楼并对外出售，取得价款6800万元。甲公司采用公允价值模式对投资性房地产进行后续计量，不考虑其他因素。上述交易或事项对甲公司20×8年度损益的影响金额为（  ）万元。</t>
    <phoneticPr fontId="1" type="noConversion"/>
  </si>
  <si>
    <t xml:space="preserve">本题考核公允价值模式下投资性房地产的处置。
该交易或事项对甲公司 20×8 年度损益的影响金额=6800-6000+1500+100/2=2350（万元），处置投资性房地产时，需要将自用办公楼转换为以公允价值模式进行后续计量的投资性房地产时计入其他综合收益的金额（5000-3500=1500）万元，转入其他业务成本的贷方。【公允价值变动的1000在x7年就直接进公允价值变动损益了，会计分录与其他业务成本冲掉了】
20×7 年 6 月 30 日：
借：投资性房地产-成本 5000
贷：固定资产 3500
       其他综合收益 1500
收到租金：（略）
20×7 年 12 月 31 日：
借：投资性房地产-公允价值变动 1000
贷：公允价值变动损益 1000
20×8 年 6 月 30 日：
收到租金：
借：银行存款 50
贷：其他业务收入 50 （不考虑增值税）
出售：
借：银行存款 6800
贷：其他业务收入 6800
借：其他业务成本 6000
贷：投资性房地产-成本 5000
                              -公允价值变动 1000
借：公允价值变动损益 1000
贷：其他业务成本 1000
借：其他综合收益 1500
贷：其他业务成本 1500
</t>
    <phoneticPr fontId="1" type="noConversion"/>
  </si>
  <si>
    <t>企业将自用房地产转换为以公允价值模式计量的投资性房地产时,转换日的公允价值与原账面价值的差额,可能影响的财务报表项目有(        ) 。</t>
    <phoneticPr fontId="1" type="noConversion"/>
  </si>
  <si>
    <t>资本公积</t>
    <phoneticPr fontId="1" type="noConversion"/>
  </si>
  <si>
    <t>其他综合收益</t>
    <phoneticPr fontId="1" type="noConversion"/>
  </si>
  <si>
    <t>公允价值变动损益</t>
    <phoneticPr fontId="1" type="noConversion"/>
  </si>
  <si>
    <t>本题考核自用房地产转换为以公允价值模式计量的投资性房地产的会计处理。企业将自用房地产转换为以公允价值模式进行后续计量的投资性房地产,转换日公允价值大于账面价值的差额计入其他综合收益,公允价值小于账面价值的差额计入公允价值变动损益,选项B和C正确。</t>
    <phoneticPr fontId="1" type="noConversion"/>
  </si>
  <si>
    <t>自用房地产转换为以成本模式计量的投资性房地产，不影响损益金额。( )</t>
    <phoneticPr fontId="1" type="noConversion"/>
  </si>
  <si>
    <t>√</t>
    <phoneticPr fontId="1" type="noConversion"/>
  </si>
  <si>
    <t>本题考核房地产的转换。自用房地产转为成本模式下的投资性房地产时，对应科目等额结转,不产生差异，不影响损益。所以，本题表述正确。</t>
    <phoneticPr fontId="1" type="noConversion"/>
  </si>
  <si>
    <t>下列各项中，属于固定资产减值迹象的有(    )。</t>
    <phoneticPr fontId="1" type="noConversion"/>
  </si>
  <si>
    <t>固定资产将被闲置</t>
    <phoneticPr fontId="1" type="noConversion"/>
  </si>
  <si>
    <t>计划提前处置固定资产</t>
    <phoneticPr fontId="1" type="noConversion"/>
  </si>
  <si>
    <t>有证据表明资产已经陈旧过时</t>
    <phoneticPr fontId="1" type="noConversion"/>
  </si>
  <si>
    <t>企业经营所处的经济环境在当期发生重大变化且对企业产生不利影响</t>
    <phoneticPr fontId="1" type="noConversion"/>
  </si>
  <si>
    <t>ABCD</t>
    <phoneticPr fontId="1" type="noConversion"/>
  </si>
  <si>
    <t>本题考核资产可能发生减值的迹象。
资产可能发生减值的迹象有：
（1）资产的市价当期大幅度下跌，其跌幅明显高于因时间的推移或者正常使用而预计的下跌 ；
（2）企业经营所处的经济、技术或者法律等环境以及资产所处的市场在当期或者将在近期发生重大变化，从而对企业产生不利影响；
（3）市场利率或者其他市场投资报酬率在当期已经提高，从而影响企业计算资产预计未来现金流量现值的折现率，导致资产可收回金额大幅度降低 ；
（4）有证据表明资产已经陈旧过时或者其实体已经损坏；
（5）资产已经或者将被闲置、终止使用或者计划提前处置；
（6）企业内部报告的证据表明资产的经济绩效已经低于或者将低于预期，如资产所创造的净现金流量或者实现的营业利润（或者亏损）远远低于（或者高于）预计金额等。
所以以上ABCD四个选项均属于固定资产减值的迹象。</t>
    <phoneticPr fontId="1" type="noConversion"/>
  </si>
  <si>
    <t>下列各项中，无论是否有确凿证据表明资产存在减值迹象，均应至少于每年年末进行减值测试的有(  )。</t>
    <phoneticPr fontId="1" type="noConversion"/>
  </si>
  <si>
    <t>对联营企业的长期股权投资</t>
    <phoneticPr fontId="1" type="noConversion"/>
  </si>
  <si>
    <t>使用寿命不确定的专有技术</t>
    <phoneticPr fontId="1" type="noConversion"/>
  </si>
  <si>
    <t>正常使用过程中的固定资产</t>
    <phoneticPr fontId="1" type="noConversion"/>
  </si>
  <si>
    <t>企业合并形成的商誉</t>
    <phoneticPr fontId="1" type="noConversion"/>
  </si>
  <si>
    <t>BD</t>
    <phoneticPr fontId="1" type="noConversion"/>
  </si>
  <si>
    <t>本题考核资产减值测试的范围。对于企业合并所形成的商誉和使用寿命不确定的无形资产，无论是否存在减值迹象，至少应当每年进行减值测试，选项BD正确。</t>
    <phoneticPr fontId="1" type="noConversion"/>
  </si>
  <si>
    <t>固定资产</t>
    <phoneticPr fontId="1" type="noConversion"/>
  </si>
  <si>
    <t>以成本模式计量的投资性房地产</t>
    <phoneticPr fontId="1" type="noConversion"/>
  </si>
  <si>
    <t>无形资产</t>
    <phoneticPr fontId="1" type="noConversion"/>
  </si>
  <si>
    <t>存货</t>
    <phoneticPr fontId="1" type="noConversion"/>
  </si>
  <si>
    <t>ABC</t>
    <phoneticPr fontId="1" type="noConversion"/>
  </si>
  <si>
    <t>本题考核资产减值的范围。
固定资产、无形资产、长期股权投资、生产性生物资产、采用成本模式计量的投资性房地产、探明石油天然气矿区权益和井及相关设施等非流动性资产，减值准备一经计提，不得转回。
债权投资、存货、应收账款、其他债权投资等资产的减值可以转回。
因此，正确答案为选项ABC。</t>
    <phoneticPr fontId="1" type="noConversion"/>
  </si>
  <si>
    <t xml:space="preserve"> 下列各项中，无论是否存在减值迹象，至少每年要进行减值测试的是（  ）。</t>
    <phoneticPr fontId="1" type="noConversion"/>
  </si>
  <si>
    <t>企业合并形成的商誉</t>
    <phoneticPr fontId="1" type="noConversion"/>
  </si>
  <si>
    <t>使用寿命不确定的无形资产</t>
    <phoneticPr fontId="1" type="noConversion"/>
  </si>
  <si>
    <t>尚未达到可使用状态的无形资产</t>
    <phoneticPr fontId="1" type="noConversion"/>
  </si>
  <si>
    <t>本题考核资产减值的迹象。
因企业合并形成的商誉和使用寿命不确定的无形资产，无论是否存在减值迹象，至少应当每年进行减值测试。对于尚未达到可使用状态的无形资产，因其价值通常具有较大的不确定性，也至少应当每年进行减值测试。
因此，正确答案为选项 ABC。</t>
    <phoneticPr fontId="1" type="noConversion"/>
  </si>
  <si>
    <t>有证据表明资产已经陈旧过时或者其实体已经损坏</t>
    <phoneticPr fontId="1" type="noConversion"/>
  </si>
  <si>
    <t>下列各项中，表明资产可能发生减值的迹象有（）。</t>
    <phoneticPr fontId="1" type="noConversion"/>
  </si>
  <si>
    <t>资产已经或者将被闲置、终止使用或者计划提前处置</t>
    <phoneticPr fontId="1" type="noConversion"/>
  </si>
  <si>
    <t>因正常使用产生磨损而导致企业的机器设备在当期的市价有所下跌</t>
    <phoneticPr fontId="1" type="noConversion"/>
  </si>
  <si>
    <t>市场利率或者其他市场投资报酬率在当期已经提高，从而影响企业计算资产预计未来现金流量现值的折现率，导致资产可收回金额大幅度降低</t>
    <phoneticPr fontId="1" type="noConversion"/>
  </si>
  <si>
    <t>ABD</t>
    <phoneticPr fontId="1" type="noConversion"/>
  </si>
  <si>
    <t>本题考核资产可能发生减值的迹象。
选项 AB 为从内部信息来源看，资产可能发生减值的迹象；
选项 D 为从外部信息来源看，资产可能发生减值的迹象；
选项 C，因正常使用产生磨损而导致企业的机器设备在当期的市价有所下跌，不属于资产减值的迹象。只有资产的市价当期大幅度下跌，其跌幅明显高于因时间的推移或者正常使用而预计的下跌，才属于资产发生减值的迹象。选项 C 说法错误。
因此，本题应选择选项 ABD。</t>
    <phoneticPr fontId="1" type="noConversion"/>
  </si>
  <si>
    <t>下列各项资产中，企业应采用可收回金额与账面价值孰低的方法进行减值测试的有(    )。</t>
    <phoneticPr fontId="1" type="noConversion"/>
  </si>
  <si>
    <t>长期股权投资</t>
    <phoneticPr fontId="1" type="noConversion"/>
  </si>
  <si>
    <t>固定资产</t>
    <phoneticPr fontId="1" type="noConversion"/>
  </si>
  <si>
    <t>债权投资</t>
    <phoneticPr fontId="1" type="noConversion"/>
  </si>
  <si>
    <t>BC</t>
    <phoneticPr fontId="1" type="noConversion"/>
  </si>
  <si>
    <t>本题考核资产减值的概念及其范围。资产减值的范围具体包括对子公司、联营企业和合营企业的长期股权投资，采用成本模式进行后续计量的投资性房地产，固定资产，无形资产，探明石油天然气矿区权益和井及相关设施，选项B、C正确；选项A，存货期末按成本与可变现净值孰低计量；选项D，债权投资按预期信用损失法计提减值。所以，本题选项B、C正确。</t>
    <phoneticPr fontId="1" type="noConversion"/>
  </si>
  <si>
    <t>下列资产中，资产减值损失一经确认，在以后会计期间不得转回的有(     )。</t>
    <phoneticPr fontId="1" type="noConversion"/>
  </si>
  <si>
    <t>在建工程</t>
    <phoneticPr fontId="1" type="noConversion"/>
  </si>
  <si>
    <t>长期股权投资</t>
    <phoneticPr fontId="1" type="noConversion"/>
  </si>
  <si>
    <t>存货</t>
    <phoneticPr fontId="1" type="noConversion"/>
  </si>
  <si>
    <t>ABC</t>
    <phoneticPr fontId="1" type="noConversion"/>
  </si>
  <si>
    <t>本章涉及的资产主要是企业的非流动资产，包括：
- 对子公司、联营企业、和营企业的长期股权投资
- 采用成本模式进行后续计量的投资性房地产
- 固定资产【含在建工程】
- 无形资产
- 探明石油天然气矿区权益和井及相关设施等
以上资产减值计提后，`不得转回`。</t>
    <phoneticPr fontId="1" type="noConversion"/>
  </si>
  <si>
    <t>企业在资产减值测试时，下列各项关于预计资产未来现金流量的表述中，正确的有（   ）。</t>
    <phoneticPr fontId="1" type="noConversion"/>
  </si>
  <si>
    <t>包括资产处置时取得的净现金流量</t>
    <phoneticPr fontId="1" type="noConversion"/>
  </si>
  <si>
    <t>不包括与所得税收付有关的现金流量</t>
    <phoneticPr fontId="1" type="noConversion"/>
  </si>
  <si>
    <t>包括将来可能会发生的、尚未作出承诺的重组事项</t>
    <phoneticPr fontId="1" type="noConversion"/>
  </si>
  <si>
    <t>不包括与资产改良支出有关的现金流量</t>
    <phoneticPr fontId="1" type="noConversion"/>
  </si>
  <si>
    <t>本题考核资产预计未来现金流量的影响因素。资产预计未来现金流量应当包括的内容有：资产持续使用过程中预计产生的现金流入；实现资产持续使用过程中产生的现金流入所必需的预计现金流出；资产使用寿命结束时，处置资产所收到或者支付的净现金流量。预计资产未来现金流量应当考虑的因素：不应当包括筹资活动和与所得税收付相关的现金流量，应当以资产的当前状况为基础，不应当包括与将来可能会发生的、尚未作出承诺的重组事项或与资产改良有关的预计未来现金流量，故选项C说法错误。</t>
    <phoneticPr fontId="1" type="noConversion"/>
  </si>
  <si>
    <t>甲公司2014年12月1日购入一台设备，原值为200万元，预计可使用5年，预计净残值率为4%，采用年数总和法计提折旧。2016年12月31日，甲公司在对该设备账面价值进行检查时，发现存在减值迹象。根据当日市场情况判断，如果将该设备予以出售，预计市场价格为85万元，清理费用为3万元；如果继续使用该固定资产，预计未来3年现金流量值为80万元。假设不考虑相关税费，则2016年末该设备应计提减值准备为（　　）万元。</t>
    <phoneticPr fontId="1" type="noConversion"/>
  </si>
  <si>
    <t>C</t>
    <phoneticPr fontId="1" type="noConversion"/>
  </si>
  <si>
    <t>本题考核固定资产减值准备的计提。资产的可回收金额应当根据资产的公允价值减去处置费用后的净额（85-3）与资产预计未来现金流量的现值（80）两者之间较高者确定，即可收回金额为82万元（85-3）；固定资产计提折旧采用年数总和法，年折旧率=尚可使用年限/预计使用年限的逐年数字总和，计提减值准备前的账面价值=200-200×（1-4%）×（5+4）/15=84.8（万元），资产的可回收金额低于其账面价值的，企业应当将资产的账面价值减记至可回收金额，减记的金额确认为资产减值损失，计入当期损益，同时计提相应的资产减值准备。应计提减值准备=84.8-82=2.8（万元）。</t>
    <phoneticPr fontId="1" type="noConversion"/>
  </si>
  <si>
    <t>下列关于资产减值的表述中，正确的有（   ）。</t>
    <phoneticPr fontId="1" type="noConversion"/>
  </si>
  <si>
    <t>资产的可收回金额应当根据资产的公允价值与资产预计未来现金流量的现值两者之间的较高者确定</t>
    <phoneticPr fontId="1" type="noConversion"/>
  </si>
  <si>
    <t>因企业合并形成的商誉无论是否存在减值迹象，每年都应进行减值测试</t>
    <phoneticPr fontId="1" type="noConversion"/>
  </si>
  <si>
    <t>进行资产减值测试，难以对单项资产的可收回金额进行估计的，应当以该资产所属的资产组为基础确定资产组的可收回金额</t>
    <phoneticPr fontId="1" type="noConversion"/>
  </si>
  <si>
    <t>各类资产减值损失除特别规定外，均应在利润表的资产减值损失项目中予以反映</t>
    <phoneticPr fontId="1" type="noConversion"/>
  </si>
  <si>
    <t>BCD</t>
    <phoneticPr fontId="1" type="noConversion"/>
  </si>
  <si>
    <t>本题考核资产减值的会计处理。资产的可收回金额应当根据资产的公允价值减去处置费用后的净额与资产预计未来现金流量的现值两者之间的较高者确定，选项A没考虑处置费用所以不选，选项BCD正确。（选项D：应收账款的减值进信用减值损失）</t>
    <phoneticPr fontId="1" type="noConversion"/>
  </si>
  <si>
    <t>甲公司以人民币为记账本位币，2x17年12月31日，该公司有一项设备存在减值迹象，当日，该设备公允价值为人民币2000万元，预计处置费用为人民币200万元。因该设备生产的产品全部销往国外，预计最近三年每年产生的现金流入为100万美元，2×17年12月31日的即期汇率为1美元=6.85元人民币，预计未来两年资产负债表日即期汇率分别为1美元=6.8元人民币和1美元=6.75元人民币。甲公司采用的折现率为5%，假设答案保留整数位。则该设备的可收回金额为（）万元。</t>
    <phoneticPr fontId="1" type="noConversion"/>
  </si>
  <si>
    <t>B</t>
    <phoneticPr fontId="1" type="noConversion"/>
  </si>
  <si>
    <t>本题考核资产可收回金额的确定及外币未来现金流量及其现值的确定。
该设备公允价值减去处置费用后的净额=2000-200=1800（万元）
外币计量的预计未来现金流量现值=100/（1+5%）+100/(1+5%) 2 +100/（1+5%） 3 ≈272.32（万美元）以人民币计量的预计未来现金流量现值=272.32×6.85≈1865（万元）
可收回金额为公允价值减去处置费用后的净额和预计未来现金流量现值孰高者，因此，该设备的可收回金额为 1865 万元。</t>
    <phoneticPr fontId="1" type="noConversion"/>
  </si>
  <si>
    <t>下列在预计资产未来现金流量时应当考虑的因素中，说法正确的有（   ）。</t>
    <phoneticPr fontId="1" type="noConversion"/>
  </si>
  <si>
    <t>以资产的当前状况为基础并考虑将来可能发生的与资产改良有关的预计未来现金流量</t>
    <phoneticPr fontId="1" type="noConversion"/>
  </si>
  <si>
    <t>预计资产未来现金流量不应当包括与筹资活动有关的现金流量，但应当考虑因所得税收付产生的现金流量的影响</t>
    <phoneticPr fontId="1" type="noConversion"/>
  </si>
  <si>
    <t>对通货膨胀因素的考虑应当和折现率一致</t>
    <phoneticPr fontId="1" type="noConversion"/>
  </si>
  <si>
    <t>对内部转移价格应当予以调整</t>
    <phoneticPr fontId="1" type="noConversion"/>
  </si>
  <si>
    <t>CD</t>
    <phoneticPr fontId="1" type="noConversion"/>
  </si>
  <si>
    <t>本题考核预计资产未来现金流量应当考虑的因素。
在预计资产未来现金流量时，企业应当以资产的当前状况为基础，不应当包括与将来可能会发生的、尚未作出承诺的重组事项或者与资产改良有关的预计未来现金流量。选项 A 说法错误。
资产未来现金流量不应当包括筹资活动和与所得税收付有关的现金流量。选项 B 说法错误。
因此，正确答案为选项 CD。</t>
    <phoneticPr fontId="1" type="noConversion"/>
  </si>
  <si>
    <t>在资产减值测试中，计算资产未来现金流量现值时所适用的折现率应当是反映当前市场货币时间价值和资产特定风险的税后利率。（</t>
    <phoneticPr fontId="1" type="noConversion"/>
  </si>
  <si>
    <t>×</t>
    <phoneticPr fontId="1" type="noConversion"/>
  </si>
  <si>
    <t>本题考核资产减值测试中折现率的预计。在资产减值测试中，计算资产未来现金流量现值时所适用的折现率应当是反映当前市场货币时间价值和资产特定风险的税前利率。</t>
    <phoneticPr fontId="1" type="noConversion"/>
  </si>
  <si>
    <t>资产负债表日,企业对未来现金流量为外币的固定资产进行减值测试时,应当以资产负债表日的即期汇率对未来外币现金流量的现值进行折算。( ) （2019）</t>
    <phoneticPr fontId="1" type="noConversion"/>
  </si>
  <si>
    <t>2×17年6月20日以银行存款1500万元外购一条生产线并立即投入使用，预计使用年限为15年，预计净残值为零，采用年限平均法计提折旧。2×18 年12月31日，估计可收回金额为1209万元，预计尚可使用年限为13年，预计净残值为零，仍采用年限平均法计提折旧。考虑其他因素，2×19年末该资产的账面价值为(    )万元。</t>
    <phoneticPr fontId="1" type="noConversion"/>
  </si>
  <si>
    <t>A</t>
    <phoneticPr fontId="1" type="noConversion"/>
  </si>
  <si>
    <t>本题考核资产减值损失的确定及其账务处理。2×18年末该资产减值前的账面价值=1500-1500/15×1.5=1350（万元），大于可收回金额为1209万元，发生了减值，所以2×18年末该资产减值后的账面价值=1209（万元），2×19年末该资产的账面价值= 1209-1209/13=1116 (万元)。所以，本题选项A正确。</t>
    <phoneticPr fontId="1" type="noConversion"/>
  </si>
  <si>
    <t>下列各项中,影响企业使用寿命有限的无形资产计提减值准备金额的因素有( )。</t>
    <phoneticPr fontId="1" type="noConversion"/>
  </si>
  <si>
    <t>取得成本</t>
    <phoneticPr fontId="1" type="noConversion"/>
  </si>
  <si>
    <t>累计摊销额</t>
    <phoneticPr fontId="1" type="noConversion"/>
  </si>
  <si>
    <t>预计未来现金流量的现值</t>
    <phoneticPr fontId="1" type="noConversion"/>
  </si>
  <si>
    <t>公允价值减去处置费用后的净额</t>
    <phoneticPr fontId="1" type="noConversion"/>
  </si>
  <si>
    <t>ABCD</t>
    <phoneticPr fontId="1" type="noConversion"/>
  </si>
  <si>
    <t>本题考核资产减值损失的确定及其账务处理。使用寿命有限的无形资产计提减值准备的金额=减值测试前无形资产成本-累计摊销-无形资产可收回金额，无形资产可收回金额为预计未来现金流量现值与公允价值减去处置费用后的净额孰高计量。所以，本题选项A、B、C、D均正确。</t>
    <phoneticPr fontId="1" type="noConversion"/>
  </si>
  <si>
    <t>在建工程出现减值迹象，企业预计其未来现金流量时，应当包括预期为使其达到预定可使用状态而发生的全部现金流出数。(   )</t>
    <phoneticPr fontId="1" type="noConversion"/>
  </si>
  <si>
    <t>本题考核资产预计未来现金流量现值的确定。对于在建工程、开发过程中的无形资产等，企业在预计其未来现金流量时，应该包括预期为使该类资产达到预定可使用（或可销售）状态而发生的全部现金流出数。所以，本题表述正确。</t>
    <phoneticPr fontId="1" type="noConversion"/>
  </si>
  <si>
    <t>2×16年末，甲公司某项资产组（均为非金融长期资产）存在减值迹象，经减值测试，预计资产组的未来现金流量现值为4000万元、公允价值减去处置费用后的净额为3900万元；该资产组资产的账面价值为5500万元。2×17年末，该资产组的账面价值为3800万元，预计未来现金流量现值为5600万元、公允价值减去处置费用后的净额为5000万元。该资产组2×16年前未计提减值准备。不考虑其他因素。下列各项关于甲公司对该资产组减值会计处理的表述中，正确的有（   ）。</t>
    <phoneticPr fontId="1" type="noConversion"/>
  </si>
  <si>
    <t>2×17年末资产组的账面价值为3800万元</t>
    <phoneticPr fontId="1" type="noConversion"/>
  </si>
  <si>
    <t>2×16年末应计提资产组减值准备1500万元</t>
    <phoneticPr fontId="1" type="noConversion"/>
  </si>
  <si>
    <t>2×16年末资产组的账面价值为4000万元</t>
    <phoneticPr fontId="1" type="noConversion"/>
  </si>
  <si>
    <t>2×17年末资产组的账面价值为5600万元</t>
    <phoneticPr fontId="1" type="noConversion"/>
  </si>
  <si>
    <t>ABC</t>
    <phoneticPr fontId="1" type="noConversion"/>
  </si>
  <si>
    <t>本题考核资产减值的会计处理。
2×16年计提减值前，该资产组的账面价值是5500万元，现金流量现值为4000万元，公允价值减去处置费用后的净额为3900万元，可收回金额为4000万元，2×16年末应确认的减值金额=5500-4000=1500（万元），资产组中减值准备金额为1500万元，选项B、C正确； 2×17年末资产组的账面价值为3800万元，可收回金额5600万元，但甲公司资产组中均为非金融长期资产，表明资产减值不可转回，故2×17年末资产组账面价值仍为3800万元，选项A正确。</t>
    <phoneticPr fontId="1" type="noConversion"/>
  </si>
  <si>
    <t>甲公司由A车间和B车间及C运输部组成，A车间专门负责生产零部件且该部件没有活跃市场，生产后由B车间负责组装，B车间只负责包装本公司的产品，产品包装完毕后由C部门负责运输。C运输部门除负责本公司运输外，可以独立承接外单位运输业务。甲公司对A车间和B车间资产的使用和处置等决策是一体化的。对资产组的划分正确的是（  ）。</t>
    <phoneticPr fontId="1" type="noConversion"/>
  </si>
  <si>
    <t>A车间和B车间</t>
    <phoneticPr fontId="1" type="noConversion"/>
  </si>
  <si>
    <t>A车间、B车间和C运输部门</t>
    <phoneticPr fontId="1" type="noConversion"/>
  </si>
  <si>
    <t>A车间和C运输部门</t>
    <phoneticPr fontId="1" type="noConversion"/>
  </si>
  <si>
    <t>B车间和C运输部门</t>
    <phoneticPr fontId="1" type="noConversion"/>
  </si>
  <si>
    <t>A</t>
    <phoneticPr fontId="1" type="noConversion"/>
  </si>
  <si>
    <t>本题考核资产组的认定。因为A车间和B车间合并可以产生现金流，而C部门独立可以产生现金流，因此，A车间和B车间为可以产生现金流的最小的资产组合。</t>
    <phoneticPr fontId="1" type="noConversion"/>
  </si>
  <si>
    <t>如果资产组发生减值，减值损失金额应当按顺序进行分摊，对于资产组减值，以下说法正确的有（  ）。</t>
    <phoneticPr fontId="1" type="noConversion"/>
  </si>
  <si>
    <t>首先抵减分摊至资产组中商誉的账面价值</t>
    <phoneticPr fontId="1" type="noConversion"/>
  </si>
  <si>
    <t>其次，根据资产组中除商誉之外的其他各项资产的账面价值所占比重，按比例抵减其他各项资产的账面价值</t>
    <phoneticPr fontId="1" type="noConversion"/>
  </si>
  <si>
    <t>以上资产账面价值的抵减，应当作为各单项资产（包括商誉）的减值损失处理</t>
    <phoneticPr fontId="1" type="noConversion"/>
  </si>
  <si>
    <t>抵减后的各资产的账面价值不低于以下三者之中的最高者：该资产的账面价值减去处置费用后的净额（如可确定的）、该资产预计未来现金流量的现值（如可确定的）和零</t>
    <phoneticPr fontId="1" type="noConversion"/>
  </si>
  <si>
    <t>本题考核资产组减值损失的会计处理。
选项 D：抵减后的各资产的账面价值不低于以下三者之中的最高者：该资产的【公允价值】减去处置费用后的净额（如可确定的）、该资产预计未来现金流量的现值（如可确定的）和零。
因此，正确答案为选项 ABC。</t>
    <phoneticPr fontId="1" type="noConversion"/>
  </si>
  <si>
    <t>资产组一经确定，在各个会计期间应当保持一致，即使企业重组、变更资产用途，也不得随意变更。（）</t>
    <phoneticPr fontId="1" type="noConversion"/>
  </si>
  <si>
    <t>本题考核资产组的认定。资产组一经确定，在各个会计期间应当保持一致，也不得随意变更。但是，企业如果由于重组、变更资产用途等原因，导致资产组的构成确需变更的，企业可以变更，但企业管理层应当证明该变更是合理的，并应当在附注中作出说明。</t>
    <phoneticPr fontId="1" type="noConversion"/>
  </si>
  <si>
    <t>下列关于金融资产分类的表述中，正确的是（ ）。</t>
    <phoneticPr fontId="1" type="noConversion"/>
  </si>
  <si>
    <t>金融资产分类一经确定，不得变更</t>
    <phoneticPr fontId="1" type="noConversion"/>
  </si>
  <si>
    <t>如果企业管理金融资产的业务模式没有发生变更，而金融资产的条款发生变更但未导致终止确认的，允许重分类</t>
    <phoneticPr fontId="1" type="noConversion"/>
  </si>
  <si>
    <t>企业对金融资产进行重分类，应当自重分类日起采用未来适用法进行相关会计处理</t>
    <phoneticPr fontId="1" type="noConversion"/>
  </si>
  <si>
    <t>重分类日是指企业对金融资产进行重分类的业务模式发生变更的当天</t>
    <phoneticPr fontId="1" type="noConversion"/>
  </si>
  <si>
    <t>金融资产分类一经确定，不得“随意”变更，选项A错误；如果企业管理金融资产的业务模式没有发生变更，而金融资产的条款发生变更但未导致终止确认的，不允许重分类，选项B错误；重分类日是指导致企业对金融资产进行重分类的业务模式发生变更后的首个报告期间的第一天，选项D错误。</t>
    <phoneticPr fontId="1" type="noConversion"/>
  </si>
  <si>
    <t>下列不属于金融资产的是（）</t>
    <phoneticPr fontId="1" type="noConversion"/>
  </si>
  <si>
    <t>银行存款</t>
    <phoneticPr fontId="1" type="noConversion"/>
  </si>
  <si>
    <t>预付账款</t>
    <phoneticPr fontId="1" type="noConversion"/>
  </si>
  <si>
    <t>应收票据</t>
    <phoneticPr fontId="1" type="noConversion"/>
  </si>
  <si>
    <t>衍生金融资产</t>
    <phoneticPr fontId="1" type="noConversion"/>
  </si>
  <si>
    <t>C</t>
    <phoneticPr fontId="1" type="noConversion"/>
  </si>
  <si>
    <t>B</t>
    <phoneticPr fontId="1" type="noConversion"/>
  </si>
  <si>
    <t>本题考核金融资产的定义。预付账款不是金融资产，它产生收取商品或服务的权利，无收取现金或其他金融资产的权利，本题要求选择错误选项，故应选择选项B。</t>
    <phoneticPr fontId="1" type="noConversion"/>
  </si>
  <si>
    <t>下列各项中，不属于金融负债的有（  ）。</t>
    <phoneticPr fontId="1" type="noConversion"/>
  </si>
  <si>
    <t>按照销售合同的约定预收的销货款</t>
    <phoneticPr fontId="1" type="noConversion"/>
  </si>
  <si>
    <t>按照采购合同约定应支付的工程款</t>
    <phoneticPr fontId="1" type="noConversion"/>
  </si>
  <si>
    <t>按照产品质量保证承诺预计的保修费用</t>
    <phoneticPr fontId="1" type="noConversion"/>
  </si>
  <si>
    <t>按照采购合同的约定应付的商业承兑汇票</t>
    <phoneticPr fontId="1" type="noConversion"/>
  </si>
  <si>
    <t>本题考核金融负债的范围。金融负债是一种合同义务，会形成另一方金融资产，需要用现金或者其他金融资产等偿还。预收的销售款产生的负债将来是用存货等偿还，因此不属于金融负债，选项 A 正确；按照产品质量保证承诺预计的保修费，即预计负债，除了用现金偿还以外，也可以用非现金资产偿还，且未形成另一方的金融资产，故不属于金融负债，选项 C 正确。按照采购合同的约定应支付的工程款，即应付账款或者长期应付款，属于用现金或其他金融资产偿还的合同义务，故属于金融负债，选项 B 错误；按照采购合同的约定应付的商业承兑汇票，即应付票据，属于金融负债，选项 D 错误。</t>
    <phoneticPr fontId="1" type="noConversion"/>
  </si>
  <si>
    <t>AC</t>
    <phoneticPr fontId="1" type="noConversion"/>
  </si>
  <si>
    <t>形成一方金融资产，不一定会形成另一方金融负债。（  ）</t>
    <phoneticPr fontId="1" type="noConversion"/>
  </si>
  <si>
    <t>√</t>
    <phoneticPr fontId="1" type="noConversion"/>
  </si>
  <si>
    <t>本题考核金融工具的定义。金融工具是指形成一方的金融资产并形成其他方的金融负债【或权益工具】的合同。所以形成一方金融资产不一定会形成另一方金融负债，本题说法正确。</t>
    <phoneticPr fontId="1" type="noConversion"/>
  </si>
  <si>
    <t>在特定条件下，企业可以将以公允价值计量且其变动计入当期损益的金融负债重分类为以摊余成本计量的金融负债。(         )</t>
    <phoneticPr fontId="1" type="noConversion"/>
  </si>
  <si>
    <t>本题考核金融负债的重分类。企业对金融负债的分类一经确定,不得变更。</t>
    <phoneticPr fontId="1" type="noConversion"/>
  </si>
  <si>
    <t>企业买入一项期权，企业指导期权到期日仍未行权，则企业在合同权利到期后应当终止该期权形成的金融资产（  ）</t>
    <phoneticPr fontId="1" type="noConversion"/>
  </si>
  <si>
    <t>金融资产的终止确认。若收取该金融资产合同现金流量的合同权利终止，应终止确认该金融资产。企业买入一项期权，企业直到期权到期日仍未行权，则企业在合同权利到期后应当终止确认该期权形成的金融资产。因此，本题说法正确。</t>
    <phoneticPr fontId="1" type="noConversion"/>
  </si>
  <si>
    <t>2019 年 1 月 1 日，甲公司以 3133.5 万元购入乙公司当日发行的面值总额为3000 万元的债券，作为债权投资核算。该债券期限为5年，票面年利率为5%，实际年利率为4%，每年年末付息一次，到期偿还本金，不考虑增值税相关税费及其他因素，2019 年 12 月 31 日，甲公司该债权投资的投资收益为（    ）万元。</t>
    <phoneticPr fontId="1" type="noConversion"/>
  </si>
  <si>
    <t>B</t>
    <phoneticPr fontId="1" type="noConversion"/>
  </si>
  <si>
    <t>本题考核债权投资的投资收益的计算。甲公司该债权投资的投资收益=期初摊余成本 3133.5×实际利率4%=125.34（万元）。</t>
    <phoneticPr fontId="1" type="noConversion"/>
  </si>
  <si>
    <t>2019 年 1 月 1 日，甲公司溢价购入乙公司当日发行的 3 年期到期一次还本付息债券，根据其管理该金融资产的业务模式和合同现金流量特征，作为债权投资进行核算，并于每年年末计提利息。2019年年末，甲公司按照票面利率确认应计利息 590万元，利息调整的摊销额为 10万元，甲公司 2019年末对该债权投资应确认投资收益的金额是（   ）。</t>
    <phoneticPr fontId="1" type="noConversion"/>
  </si>
  <si>
    <t>A</t>
    <phoneticPr fontId="1" type="noConversion"/>
  </si>
  <si>
    <t>溢价购买是实际支付大于账面价值，利息调整在借方；后期摊销是在贷方。</t>
    <phoneticPr fontId="1" type="noConversion"/>
  </si>
  <si>
    <t>2011年5月20日，甲公司以银行存款200万元（其中包含乙公司已宣告但尚未发放的现金股利5万元）从二级市场购入乙公司100万股普通股股票，另支付相关交易费用1万元，甲公司将其划分为交易性金融资产。2011年12月31日，该股票投资的公允价值为210万元。假定不考虑其他因素，该股票投资对甲公司2011年营业利润的影响金额为（    ）万元。</t>
    <phoneticPr fontId="1" type="noConversion"/>
  </si>
  <si>
    <t>A</t>
    <phoneticPr fontId="1" type="noConversion"/>
  </si>
  <si>
    <t>该股票投资取得时成本=200-5=195（万元），应确认投资收益为-1万元，期末应确认公允价值变动损益=210-195=15（万元），该股票投资对甲公司2011年营业利润的影响金额=15-1=14（万元），选项A正确。</t>
    <phoneticPr fontId="1" type="noConversion"/>
  </si>
  <si>
    <t>2019年1月1日，甲公司从二级市场购入丙公司面值为200万元的债券，支付的总价款为195万元（其中包括已到付息期但尚未领取的利息4万元），另支付相关交易费用1万元，甲公司将其划分为以公允价值计量且其变动计入其他综合收益的金融资产。该资产入账对应的“其他债权投资——利息调整”科目的金额为（    ）万元。</t>
    <phoneticPr fontId="1" type="noConversion"/>
  </si>
  <si>
    <t>4（借方）</t>
    <phoneticPr fontId="1" type="noConversion"/>
  </si>
  <si>
    <t>4（贷方）</t>
    <phoneticPr fontId="1" type="noConversion"/>
  </si>
  <si>
    <t>8（借方）</t>
    <phoneticPr fontId="1" type="noConversion"/>
  </si>
  <si>
    <t>8（贷方）</t>
    <phoneticPr fontId="1" type="noConversion"/>
  </si>
  <si>
    <t>D</t>
    <phoneticPr fontId="1" type="noConversion"/>
  </si>
  <si>
    <t>本题会计分录如下：
借：其他债权投资——成本  200
　　应收利息  4
贷：银行存款  196
　　其他债权投资——利息调整 8</t>
    <phoneticPr fontId="1" type="noConversion"/>
  </si>
  <si>
    <t>2019年1月1日，甲公司以银行存款1 100万元购入乙公司当日发行的面值为1 000万元的5年期不可赎回债券，将其划分为债权投资。该债券票面年利率为10%，每年付息一次，实际年利率为7.53%。2019年12月31日，该债券的公允价值上涨至1150万元。假定不考虑其他因素，2019年12月31日甲公司该债权投资的账面价值为（    ）万元。</t>
    <phoneticPr fontId="1" type="noConversion"/>
  </si>
  <si>
    <t>本题考核以摊余成本计量的金融资产。
2019年12月31日该债权投资的摊余成本（即账面价值）=1 100+1 100×7.53%-1 000×10%=1 082.83（万元）选项A正确。
提示：债权投资期末应按摊余成本计量，而不是按公允价值计量。</t>
    <phoneticPr fontId="1" type="noConversion"/>
  </si>
  <si>
    <t>企业对下列金融资产进行初始计量时，应将发生的相关交易费用计入初始确认金额的有(　)。</t>
    <phoneticPr fontId="1" type="noConversion"/>
  </si>
  <si>
    <t>债权投资</t>
    <phoneticPr fontId="1" type="noConversion"/>
  </si>
  <si>
    <t>其他权益工具投资</t>
    <phoneticPr fontId="1" type="noConversion"/>
  </si>
  <si>
    <t>其他债权投资</t>
    <phoneticPr fontId="1" type="noConversion"/>
  </si>
  <si>
    <t>交易性金融资产</t>
    <phoneticPr fontId="1" type="noConversion"/>
  </si>
  <si>
    <t>选项D，取得交易性金融资产发生的交易费用应当记入“投资收益”科目借方。</t>
    <phoneticPr fontId="1" type="noConversion"/>
  </si>
  <si>
    <t>下列各项关于企业交易性金融资产的会计处理表述中，正确的有（   ）。</t>
    <phoneticPr fontId="1" type="noConversion"/>
  </si>
  <si>
    <t>取得交易性金融资产的手续费，计入投资收益</t>
    <phoneticPr fontId="1" type="noConversion"/>
  </si>
  <si>
    <t>处置时实际收到的金额与交易性金融资产账面价值之间的差额计入当期损益</t>
    <phoneticPr fontId="1" type="noConversion"/>
  </si>
  <si>
    <t>该金融资产的公允价值变动计入投资收益</t>
    <phoneticPr fontId="1" type="noConversion"/>
  </si>
  <si>
    <t>持有交易性金融资产期间享有被投资单位宣告发放的现金股利计入投资收益</t>
    <phoneticPr fontId="1" type="noConversion"/>
  </si>
  <si>
    <t>选项C：交易性金融资产的公允价值变动相应的计入公允价值变动损益。</t>
    <phoneticPr fontId="1" type="noConversion"/>
  </si>
  <si>
    <t>乙公司2018年1月3日按每张1049元的价格溢价购入丁公司于2018年1月1日发行的期限为5年、面值为1000元、票面年利率为6%的普通债券8000张，发生交易费用 8000元，款项以银行存款支付。该债券每年付息一次，最后一年归还本金和最后一次利息。假设实际年利率为5.33%,该公司根据其管理该债券的业务模式和该债券的合同现金流量特征，将其作为以摊余成本计量的金融资产核算。则2018年年末 该公司持有的该批债券的摊余成本为（    ）元。</t>
    <phoneticPr fontId="1" type="noConversion"/>
  </si>
  <si>
    <t>C</t>
    <phoneticPr fontId="1" type="noConversion"/>
  </si>
  <si>
    <t>2018年年末该债券摊余成本=（1049 ×8000 +8000） × （1 + 5.33%） -1000×8000×6% =8367720（元）。</t>
    <phoneticPr fontId="1" type="noConversion"/>
  </si>
  <si>
    <t>2018年9月20日，甲公司自证券二级市场购入乙公司股票400万股，作为以公允价值计量且其变动计入当期损益的金融资产核算。其支付价款3440万元（含交易费用16万元及已宣告但尚未发放的现金股利400万元）；2018年11月20日收到乙公司发放的现金股利；2018年12月2日全部出售该批股票，收到价款3600万元。甲公司2018年度利润表中因该交易性金融资产应确认的投资收益为（ ）万元。</t>
    <phoneticPr fontId="1" type="noConversion"/>
  </si>
  <si>
    <t>D</t>
    <phoneticPr fontId="1" type="noConversion"/>
  </si>
  <si>
    <t>以全部现金流入量减全部现金流出量得出的即为累计投资收益的金额。因该交易性金融资产应确认的投资收益=3600 - （3440 -400 - 16） -16 =560（万元）。</t>
    <phoneticPr fontId="1" type="noConversion"/>
  </si>
  <si>
    <t>甲公司2018年1月1日购入乙公司发行的3年期公司债券按照其业务模式作为以摊余成本计量的金融资产核算。该债券公允价值520万元（不考虑交易费用），面值为500万元，每半年付息一次，到期还本，票面利率6%,实际利率4%，采用实际利率法摊销，则甲公司2018年6月30日“债权投资——利息调整”科目的余额为（ ）万元。</t>
    <phoneticPr fontId="1" type="noConversion"/>
  </si>
  <si>
    <t>甲公司2018年6月30日“债权投资——利息调整”科目的余额=20-4.6=15.4 （万元）。（注意只算半年）</t>
    <phoneticPr fontId="1" type="noConversion"/>
  </si>
  <si>
    <t>黄河公司2017年12月1日购入甲股票，按照其业务模式分类为以公允价值计量且其变动计入当期损益的金融资产，购入价格为85000元，另支付交易费用为100元。甲股票2017年12月31日的公允价值为92000元。黄河公司2018 年12月31日将上述甲股票全部出售，出售价格为104500元。假设不考虑其他税费，黄河公司上述投资活动对其2018年度利润总额的影响为（  ）。</t>
    <phoneticPr fontId="1" type="noConversion"/>
  </si>
  <si>
    <t>2018年处置对利润总额的影响=104500-92000=12500元</t>
    <phoneticPr fontId="1" type="noConversion"/>
  </si>
  <si>
    <t>A</t>
    <phoneticPr fontId="1" type="noConversion"/>
  </si>
  <si>
    <t>下列各项因素中，影响企业持有的债权投资摊余成本的有（ ）。</t>
    <phoneticPr fontId="1" type="noConversion"/>
  </si>
  <si>
    <t>债权投资的票面利率</t>
    <phoneticPr fontId="1" type="noConversion"/>
  </si>
  <si>
    <t>债权投资时发生的溢（折）价额</t>
    <phoneticPr fontId="1" type="noConversion"/>
  </si>
  <si>
    <t>债权投资发生的减值损失</t>
    <phoneticPr fontId="1" type="noConversion"/>
  </si>
  <si>
    <t>债权投资持有的剩余期限</t>
    <phoneticPr fontId="1" type="noConversion"/>
  </si>
  <si>
    <t>期末摊余成本=期初摊余成本+期初摊余成本×实际利息率-本金×票面利息率-计提减值-已收回本金 选项ABC正确。</t>
    <phoneticPr fontId="1" type="noConversion"/>
  </si>
  <si>
    <t>指定为以公允价值计量且其变动计入其他综合收益的非交易性权益工具投资在终止确认时，之前计入其他综合收益的累计利得或损失应当转入（  ）。</t>
    <phoneticPr fontId="1" type="noConversion"/>
  </si>
  <si>
    <t>留存收益</t>
    <phoneticPr fontId="1" type="noConversion"/>
  </si>
  <si>
    <t>投资收益</t>
    <phoneticPr fontId="1" type="noConversion"/>
  </si>
  <si>
    <t>财务费用</t>
    <phoneticPr fontId="1" type="noConversion"/>
  </si>
  <si>
    <t>公允价值变动损益</t>
    <phoneticPr fontId="1" type="noConversion"/>
  </si>
  <si>
    <t>本题考核指定为以公允价值计量且其变动计入其他综合收益的非交易性权益工具投资处置时的会计处理。终止确认时，之前计入其他综合收益的累计利得或损失应当从其他综合收益中转出，计入留存收益。</t>
    <phoneticPr fontId="1" type="noConversion"/>
  </si>
  <si>
    <t>下列各项中，应计入相关金融资产或金融负债初始入账价值的是（  ）。</t>
    <phoneticPr fontId="1" type="noConversion"/>
  </si>
  <si>
    <t>取得以公允价值计量且其变动计入当期损益的金融资产发生的交易费用</t>
    <phoneticPr fontId="1" type="noConversion"/>
  </si>
  <si>
    <t>取得以摊余成本计量的金融资产发生的交易费用</t>
    <phoneticPr fontId="1" type="noConversion"/>
  </si>
  <si>
    <t>取得以公允价值计量且其变动计入其他综合收益的金融资产发生的交易费用</t>
    <phoneticPr fontId="1" type="noConversion"/>
  </si>
  <si>
    <t>取得可以公允价值计量且其变动计入当期损益的金融负债发生的交易费用</t>
    <phoneticPr fontId="1" type="noConversion"/>
  </si>
  <si>
    <t>BC</t>
    <phoneticPr fontId="1" type="noConversion"/>
  </si>
  <si>
    <t>本题考核取得不同类别的金融资产发生交易费用的会计处理。对于以公允价值计量且其变动计入当期损益的金融资产或金融负债，相关交易费用应当直接计入当期损益，选项 AD 错误；对于其他类别的金融资产或金融负债，相关交易费用应当计入初始确认金额，选项 BC 正确。</t>
    <phoneticPr fontId="1" type="noConversion"/>
  </si>
  <si>
    <t>下列各项中，应当计入发生当期损益的有（  ）。</t>
    <phoneticPr fontId="1" type="noConversion"/>
  </si>
  <si>
    <t>以摊余成本计量的金融资产采用实际利率法计算的利息</t>
    <phoneticPr fontId="1" type="noConversion"/>
  </si>
  <si>
    <t>以摊余成本计量的金融资产重分类为以公允价值计量且其变动计入其他综合收益的金融资产时公允价值与原账面价值的差额</t>
    <phoneticPr fontId="1" type="noConversion"/>
  </si>
  <si>
    <t>以摊余成本计量的金融资产重分类为以公允价值计量且其变动计入当期损益的金融资产时公允价值与原账面价值的差额</t>
    <phoneticPr fontId="1" type="noConversion"/>
  </si>
  <si>
    <t>自用房地产转换为采用公允价值模式计量的投资性房地产时公允价值小于原账面价值的差额</t>
    <phoneticPr fontId="1" type="noConversion"/>
  </si>
  <si>
    <t>ACD</t>
    <phoneticPr fontId="1" type="noConversion"/>
  </si>
  <si>
    <t>本题考核计入当期损益的会计处理。
以摊余成本计量的金融资产采用实际利率法计算的利息计入当期损益（利息收入），选项 A正确；
以摊余成本计量的金融资产重分类为以公允价值计量且其变动计入其他综合收益的金融资产时公允价值与原账面价值的差额计入其他综合收益，不影响损益，选项 B 错误；
以摊余成本计量的金融资重分类为以公允价值计量且其变动计入当期损益的金融资产时公允价值与原账面价值的差额计入公允价值变动损益，选项 C 正确；
自用房地产转换为采用公允价值模式计量的投资性房地产时公允价值小于原账面价值的差额计入公允价值变动损益，选项 D 正确。</t>
    <phoneticPr fontId="1" type="noConversion"/>
  </si>
  <si>
    <t>公允价值确定中第二层次的输入值包括（  ）。</t>
    <phoneticPr fontId="1" type="noConversion"/>
  </si>
  <si>
    <t>相同资产或负债在活跃市场上未经调整的报价</t>
    <phoneticPr fontId="1" type="noConversion"/>
  </si>
  <si>
    <t>非活跃市场中相同或类似金融资产的报价</t>
    <phoneticPr fontId="1" type="noConversion"/>
  </si>
  <si>
    <t>市场验证的输入值</t>
    <phoneticPr fontId="1" type="noConversion"/>
  </si>
  <si>
    <t>活跃市场中类似金融资产的报价</t>
    <phoneticPr fontId="1" type="noConversion"/>
  </si>
  <si>
    <t>本题考核第二层次输入值的确定。第二层次输入值是除第一层次输入值外相关资产或负债直接或间接可观察的输入值。包括（1）活跃市场中类似金融资产的报价，选项 D 正确；（2）非活跃市场中相同或类似金融资产的报价，选项 B 正确；（3）除报价以外的其他可观察输入值，包括在正常报价间隔期间可观察的利率和收益率曲线、隐含波动率和信用利差等；（4）市场验证的输入值，选项 C 正确。第一层次输入值是在计量日能够取得的相同资产或负债在活跃市场上未经调整的报价，故选项 A</t>
    <phoneticPr fontId="1" type="noConversion"/>
  </si>
  <si>
    <t>企业将一项以公允价值计量且其变动计入其他综合收益的金融资产重分类为以公允价值计量且其变动计入当期损益的金融资产的，应将之前计入其他综合收益的累计利得或损失转入留存收益。（  ）</t>
    <phoneticPr fontId="1" type="noConversion"/>
  </si>
  <si>
    <t>本题考核以公允价值计量且其变动计入其他综合收益的金融资产的重分类。企业将一项以公允价值计量且其变动计入其他综合收益的金融资产重分类为以公允价值计量且其变动计入当期损益的金融资产的，应将之前计入其他综合收益的累计利得或损失转入【当期损益】。本题说法错误。</t>
    <phoneticPr fontId="1" type="noConversion"/>
  </si>
  <si>
    <t>以公允价值计量且其变动计入其他综合收益的其他债权投资在终止确认时，之前计入其他综合收益的累计利得或损失应当从其他综合收益中转出，计入当期损益。（  ）</t>
    <phoneticPr fontId="1" type="noConversion"/>
  </si>
  <si>
    <t>本题考核以公允价值计量且其变动计入其他综合收益的金融资产的处置。以公允价值计量且其变动计入其他综合收益的其他债权投资在终止确认时，之前计入其他综合收益的累计利得或损失应当从其他综合收益中转出，计入【当期损益】（投资收益）。本题说法正确。</t>
    <phoneticPr fontId="1" type="noConversion"/>
  </si>
  <si>
    <t>企业应当采用预期信用损失法对以摊余成本计量的金融资产计提信用减值准备。(   )</t>
    <phoneticPr fontId="1" type="noConversion"/>
  </si>
  <si>
    <t>本题考核金融资产的后续计量。企业对以摊余成本计量的金融资产和以公允价值计量且其变动计入其他综合收益的金融资产计提信用减值准备时，应当采用“预期信用损失法”。所以，本题表述正确。</t>
    <phoneticPr fontId="1" type="noConversion"/>
  </si>
  <si>
    <t>甲公司系增值税一般纳税人，适用的增值税税率为 13%。2019年10月 5 日，甲公司将自产的 300 件 K 产品作为福利发放给职工。该批产品的单位成本为 400 元/件，公允价值和计税价格均为600 元/件。不考虑其他因素，甲公司应计入应付职工薪酬的金额为（ ）万元。</t>
    <phoneticPr fontId="1" type="noConversion"/>
  </si>
  <si>
    <t>本题考核应付职工薪酬的计量。企业向职工提供非货币性福利的，应当按照公允价值计量。甲公司发放自产K产品应视同销售。计入应付职工薪酬的金额=[600×300×（1+13%）]÷10000=20.34（万元）。</t>
    <phoneticPr fontId="1" type="noConversion"/>
  </si>
  <si>
    <t>2×17年，甲公司发生与职工薪酬有关的交易或事项如下：（1）以甲公司生产的产品作为福利发放给职工，该产品的生产成本为1500万元，市场价格为1800万元；（2）为职工交纳200万元的“四险一金”；（3）根据职工入职期限，分别可以享受5至15天的年休假，当年未用完的带薪休假权利予以取消。甲公司职工平均日工资为120元/人；（4）对管理人员实施2×17年度的利润分享计划，按当年度利润实现情况，相关管理人员可分享利润500万元。不考虑其他因素，下列各项关于甲公司2×17年与职工薪酬有关会计处理的表述中，正确的有（   ）。</t>
    <phoneticPr fontId="1" type="noConversion"/>
  </si>
  <si>
    <t>ABD</t>
    <phoneticPr fontId="1" type="noConversion"/>
  </si>
  <si>
    <t>对于职工未享受的休假权利无需进行会计处理</t>
    <phoneticPr fontId="1" type="noConversion"/>
  </si>
  <si>
    <t>管理人员应分享的利润确认为当期费用计入损益</t>
    <phoneticPr fontId="1" type="noConversion"/>
  </si>
  <si>
    <t>以产品作为福利发放给职工按产品的生产成本计入相关成本费用</t>
    <phoneticPr fontId="1" type="noConversion"/>
  </si>
  <si>
    <t>为职工交纳的“四险一金”按照职工所在岗位分别确认为相关成本费用</t>
    <phoneticPr fontId="1" type="noConversion"/>
  </si>
  <si>
    <t>本题考核非货币性职工福利的会计处理。 以产品作为福利发放给职工，应当按照产品的公允价值和相关税费计入到相关成本费用，选项C不正确。</t>
    <phoneticPr fontId="1" type="noConversion"/>
  </si>
  <si>
    <t>下列各项中，企业应作为职工薪酬核算的有（  ）。</t>
    <phoneticPr fontId="1" type="noConversion"/>
  </si>
  <si>
    <t>离职后福利</t>
    <phoneticPr fontId="1" type="noConversion"/>
  </si>
  <si>
    <t>职工内部退休计划</t>
    <phoneticPr fontId="1" type="noConversion"/>
  </si>
  <si>
    <t>长期利润分享计划</t>
    <phoneticPr fontId="1" type="noConversion"/>
  </si>
  <si>
    <t>短期伤残</t>
    <phoneticPr fontId="1" type="noConversion"/>
  </si>
  <si>
    <t>本题考核职工薪酬的内容。
职工薪酬包括；短期薪酬、离职后福利、辞退福利和其他长期职工福利。
实施职工内部退休计划的，企业应当比照辞退福利处理。长期利润分享计划属于其他长期职工福利。短期伤残属于短期薪酬内容。因此，正确答案为选项 ABCD。</t>
    <phoneticPr fontId="1" type="noConversion"/>
  </si>
  <si>
    <t xml:space="preserve"> 企业以外购的商品作为非货币性福利提供给职工的，应当按照该商品的公允价值和相关税费确定职工薪酬的金额，并计入当期损益或相关资产成本。（  ）</t>
    <phoneticPr fontId="1" type="noConversion"/>
  </si>
  <si>
    <t>本题考核一般短期薪酬非货币性福利的会计处理。教材原文。</t>
    <phoneticPr fontId="1" type="noConversion"/>
  </si>
  <si>
    <t>企业向职工提供辞退福利的，应当在企业不能单方面撤回因解除劳动关系计划或裁减建议所提供的辞退福利时，企业确认涉及支付辞退福利的重组相关的成本或费用时两者孰晚日，确认辞退福利产生的职工薪酬负债，并计入当期损益。（   ）</t>
    <phoneticPr fontId="1" type="noConversion"/>
  </si>
  <si>
    <t>本题考核职工薪酬中辞退福利的会计处理。企业向职工提供辞退福利的，应当在企业不能单方面撤回因解除劳动关系计划或裁减建议所提供的辞退福利时，企业确认涉及支付辞退福利的重组相关的成本或费用时两者【孰早日】，确认辞退福利产生的职工薪酬负债，并计入当期损益。</t>
    <phoneticPr fontId="1" type="noConversion"/>
  </si>
  <si>
    <t>华东公司为一家生产日常用品的企业，为增值税一般纳税人。华东公司有500名员工，其中一线生产员工400人，管理人员100人。2014年2月，公司以其生产的成本为420元的电视机和外购的每台不含税价格为1 500元的空调作为春节福利发放给员工。该型号电视机的售价为每套800元（不含增值税），华东公司适用的增值税税率为17%；华东公司购买空调开具了增值税专用发票。当月华东公司因上述事项导致计入当期损益的金额是（     ）元。</t>
    <phoneticPr fontId="1" type="noConversion"/>
  </si>
  <si>
    <t>C</t>
    <phoneticPr fontId="1" type="noConversion"/>
  </si>
  <si>
    <t>电视机是自己生产的，销售和成本之间的利润：500*800-500*420=190000（万元）
电视机计入管理费用的：100*800*（1+17%）=93600（万元）
空调外购的计入管理费用的：100*1500*（1+17%）=175500（万元）
本题不考虑生产成本，管理费用才计入损益
190000-93600-175500=-79100（万元）</t>
    <phoneticPr fontId="1" type="noConversion"/>
  </si>
  <si>
    <t>确认辞退福利产生的职工薪酬负债应当根据员工离职前的岗位计入相关成本或当期损益。（ ）</t>
    <phoneticPr fontId="1" type="noConversion"/>
  </si>
  <si>
    <t>由于员工离职后不再为企业作贡献，确认辞退福利产生的职工薪酬负债应当计入当期损益。</t>
    <phoneticPr fontId="1" type="noConversion"/>
  </si>
  <si>
    <t>实施职工内部退休计划的企业，应将支付给内退职工的工资在职工内退期间分期计入损益。(    )</t>
    <phoneticPr fontId="1" type="noConversion"/>
  </si>
  <si>
    <t>本题考核辞退福利。实施职工内部退休计划的，将自职工停止提供服务日至正常退休日期间、企业拟支付的内退职工工资和缴纳的社会保险费等，确认为应付职工薪酬，一次性计入当期损益，不能在职工内退后各期分期确认因支付内退职工工资和为其缴纳社会保险费等产生的义务。所以，本题表述错误。</t>
    <phoneticPr fontId="1" type="noConversion"/>
  </si>
  <si>
    <t>2018 年 2 月 18 日，甲公司以自有资金支付了建造厂房的首期工程款，工程于 2018 年 3月 2 日开始施工，2018 年 6 月 1 日甲公司从银行借入于当日开始计息的专门借款，并于 2018年 6 月 26 日使用该专门借款支付第二期工程款，则该专门借款利息开始资本化的时点为（   ）。</t>
    <phoneticPr fontId="1" type="noConversion"/>
  </si>
  <si>
    <t>2018 年 6 月 26 日</t>
    <phoneticPr fontId="1" type="noConversion"/>
  </si>
  <si>
    <t>2018 年 3 月 2 日</t>
    <phoneticPr fontId="1" type="noConversion"/>
  </si>
  <si>
    <t>2018 年 2 月 18 日</t>
    <phoneticPr fontId="1" type="noConversion"/>
  </si>
  <si>
    <t>2018 年 6 月 1 日</t>
    <phoneticPr fontId="1" type="noConversion"/>
  </si>
  <si>
    <t>D</t>
    <phoneticPr fontId="1" type="noConversion"/>
  </si>
  <si>
    <t>本题考核借款费用资本化的条件。 借款费用同时满足下列条件的，应予资本化：
（1）资产支出已经发生（2 月 18 日）；
（2）借款费用已经发生（6 月 1 日）；
（3）为使资产达到预定可使用或可销售状态所必要的构建或者生产活动已经开始（3 月 2 日），所以专门借款利息开始资本化的时点为2018 年 6 月 1 日。</t>
    <phoneticPr fontId="1" type="noConversion"/>
  </si>
  <si>
    <t>根据《企业会计准则第17号—借款费用》规定，下列借款费用在资本化时需要与资产支出额相挂钩的是（  ）。</t>
    <phoneticPr fontId="1" type="noConversion"/>
  </si>
  <si>
    <t>专门借款的溢折价摊销</t>
    <phoneticPr fontId="1" type="noConversion"/>
  </si>
  <si>
    <t>一般借款的利息</t>
    <phoneticPr fontId="1" type="noConversion"/>
  </si>
  <si>
    <t>专门借款的利息</t>
    <phoneticPr fontId="1" type="noConversion"/>
  </si>
  <si>
    <t>外币专门借款汇兑差额</t>
    <phoneticPr fontId="1" type="noConversion"/>
  </si>
  <si>
    <t>B</t>
    <phoneticPr fontId="1" type="noConversion"/>
  </si>
  <si>
    <t>本题考核借款费用应予资本化的借款费用。借款包括专门借款和一般借款。对于一般借款，只有在购建或者生产某项符合资本化条件的资产占用了一般借款时，才应将与该部分一般借款相关的借款费用资本化，否则，所发生的借款费用应计入当期损益。</t>
    <phoneticPr fontId="1" type="noConversion"/>
  </si>
  <si>
    <t>下列关于借款费用中辅助费用的表述中，正确的有（    ）。</t>
    <phoneticPr fontId="1" type="noConversion"/>
  </si>
  <si>
    <t>在所购建的资产尚未开始实体建造前，发生的一般借款的辅助费用应予以资本化</t>
    <phoneticPr fontId="1" type="noConversion"/>
  </si>
  <si>
    <t>在所购建的符合资本化条件的资产达到预定可使用状态后，发生的专门借款的辅助费用应计入当期损益</t>
    <phoneticPr fontId="1" type="noConversion"/>
  </si>
  <si>
    <t>在所购建的符合资本化条件的资产达到预定可使用状态前，发生的一般借款的辅助费用应计入当期损益</t>
    <phoneticPr fontId="1" type="noConversion"/>
  </si>
  <si>
    <t>在所购建的符合资本化条件的资产达到预定可使用状态前，发生的专门借款的辅助费用应予以资本化</t>
    <phoneticPr fontId="1" type="noConversion"/>
  </si>
  <si>
    <t>BD</t>
    <phoneticPr fontId="1" type="noConversion"/>
  </si>
  <si>
    <t>本题考核借款费用中辅助费用的会计处理。
借款费用的辅助费用，是指企业在借款过程中发生的诸如手续费、佣金等费用，由于这些费用是因安排借款而发生的，也属于借入资金所付出的代价，是借款费用的构成部分。判断借款费用中辅助费用要以是否符合资本化期间来考虑，选A，所购建的资产尚未开始实体建造前，发生的一般借款的辅助费用应予以费用化计入当期损益；
选项C，所购建的符合资本化条件的资产达到预定可使用状态前，发生的一般借款的辅助费用应资本化计入相关资产成本。</t>
    <phoneticPr fontId="1" type="noConversion"/>
  </si>
  <si>
    <t>下列关于借款费用的表述中，正确的有（　　）。</t>
    <phoneticPr fontId="1" type="noConversion"/>
  </si>
  <si>
    <t>购建固定资产过程中发生非正常中断，且中断时间连续超过3个月，应当暂停借款费用资本化</t>
    <phoneticPr fontId="1" type="noConversion"/>
  </si>
  <si>
    <t>购建固定资产过程中发生正常中断，且中断时间连续超过3个月，应当暂停借款费用资本化</t>
    <phoneticPr fontId="1" type="noConversion"/>
  </si>
  <si>
    <t>某项固定资产已达到预定可使用状态，则该资产发生的借款费用应停止资本化</t>
    <phoneticPr fontId="1" type="noConversion"/>
  </si>
  <si>
    <t>专门借款和一般借款发生的借款费用，在资本化期间应当全部予以资本化</t>
    <phoneticPr fontId="1" type="noConversion"/>
  </si>
  <si>
    <t>AC</t>
    <phoneticPr fontId="1" type="noConversion"/>
  </si>
  <si>
    <t>本题考核借款费用资本化的会计处理。
选项B错误，符合资本化条件的资产在购建或者生产过程中发生了非正常中断，且中断时间连续超过3个月的，应当暂停借款费用的资本化，若发生正常中断，借款费用仍继续资本化；选项D错误，专门借款在资本化期间，应当全部计入符合资本化条件的资产的成本；一般借款资本化金额为累计资产支出超过专门借款部分的资产支出加权平均数乘以所占用一般借款的资本化率，计算确定一般借款应予资本化的利息金额。</t>
    <phoneticPr fontId="1" type="noConversion"/>
  </si>
  <si>
    <t>下列关于借款费用的表述中，正确的有（   ）。</t>
    <phoneticPr fontId="1" type="noConversion"/>
  </si>
  <si>
    <t>当所购建或生产符合资本化条件的资产已经投入使用或被用于销售时，才应停止其借款费用的资本化</t>
    <phoneticPr fontId="1" type="noConversion"/>
  </si>
  <si>
    <t>符合资本化条件的资产在构建或生产过程中发生正常中断的，发生的借款费用应当继续资本化</t>
    <phoneticPr fontId="1" type="noConversion"/>
  </si>
  <si>
    <t>符合资本化条件在构建或生产过程中发生非正常中断，且中断时间累计超过3个月的，应当暂停借款费用资本化</t>
    <phoneticPr fontId="1" type="noConversion"/>
  </si>
  <si>
    <t>资本化期间，每一个会计期间的利息资本化金额，不应当超过当期相关借款实际发生的利息金额</t>
    <phoneticPr fontId="1" type="noConversion"/>
  </si>
  <si>
    <t>BD</t>
    <phoneticPr fontId="1" type="noConversion"/>
  </si>
  <si>
    <t>本题考核借款费用的会计处理。
符合资本化条件的资产在构建或生产过程中发生非正常中断，而且连续3个月，发生的借款费用应当暂停资本化。
选项A，所购建或生产符合资本化条件的资产达到预定可使用【状态时】，就应停止借款费用资本化，选项A错误。
选项B，正常中断应当继续资本化，说法正确；
选项C，应该是【连续3个月】，说法错误。</t>
    <phoneticPr fontId="1" type="noConversion"/>
  </si>
  <si>
    <t>甲公司建造生产线，预计工期为2年，从20×4年7月1日开始，当日预付承包商建设工程款为3 000万元。9月30日，追加支付工程进度款为2 000万元。甲公司生产线建造工程占用借款包括：
(1) 20×4年6月1日借入的3年期专门借款4 000万元，年利率为6%；
(2) 20×4年1月1日借入的2年期一般借款3 000万元，年利率为7%。 甲公司将闲置部分专门借款投资于货币市场基金，月收益率为0.6%。不考虑其他因素，20×4年甲公司建造该建设工程应予以资本化的利息费用是(   )万元。</t>
    <phoneticPr fontId="1" type="noConversion"/>
  </si>
  <si>
    <t>本题考核借款费用资本化和费用化的计算。 
首先确定资本化时点：2014.7.1-12.31（共6个月）
专门借款资本化金额＝4 000×6%×6/12－1 000×0.6%×3＝102(万元)
一般借款资本化金额＝1 000×3/12×7%＝17.5(万元)。
故：20×4年甲公司建造该生产线应予以资本化的利息费用＝102＋17.5＝119.5(万元)</t>
    <phoneticPr fontId="1" type="noConversion"/>
  </si>
  <si>
    <t>20×6 年 3 月 5 日，甲公司开工建设一栋办公大楼，工期预计为 1.5 年。为筹集办公大楼后续建设所需要的资金，甲公司于 20×7 年 1 月 1 日向银行专门借款 5000 万元，借款期限为 2 年。年利率为 7%（与实际利率相同）。借款利息按年支付，20×7 年 4 月 1 日、20×7年 6 月 1 日、20×7 年 9 月 1 日，甲公司使用专门借款分别支付工程进度款 2000 万元、1500 万元、1500 万元。借款资金闲置期间专门用于短期理财，共获得理财收益 60 万元。办公大楼于 20×7 年 10 月 1 日完工，达到预计可使用状态。不考虑其他因素，甲公司 20×7 年度应预计资本化的利息金额是（ ）万元。</t>
    <phoneticPr fontId="1" type="noConversion"/>
  </si>
  <si>
    <t>本题考核借款利息资本化金额的确定。 甲 公司 20×7年度应预计资本化的利息金额=5000×7%×9/12-60=202.5（万元）。</t>
    <phoneticPr fontId="1" type="noConversion"/>
  </si>
  <si>
    <t>为购建或者生产符合资本化条件的资产而借入专门借款的，应当以专门借款当期实际发生的利息费用减去将尚未动用的借款资金存入银行取得的利息收入或进行暂时性投资取得的投资收益后的金额，确定专门借款应予资本化的利息金额。（  ）</t>
    <phoneticPr fontId="1" type="noConversion"/>
  </si>
  <si>
    <t>本题考核专门借款费用的资本化的确定。专门借款的资本化金额的确定，必须是在资本化期间内。费用化期间的专门借款利息，要予以费用化处理。</t>
    <phoneticPr fontId="1" type="noConversion"/>
  </si>
  <si>
    <t>企业用于建造厂房的专门借款,在借款费用资本化期间，其尚未动用部分存入银行取得的利息,应冲减财务费用。（    ）</t>
    <phoneticPr fontId="1" type="noConversion"/>
  </si>
  <si>
    <t>本题考核借款费用中专门借款资本化期间的会计处理。专门借款在资本化期间产生的闲置资金收益,计入应收利息,同时冲减在建工程；费用化期间的闲置资金收益计入应收利息的同时应冲减财务费用。</t>
    <phoneticPr fontId="1" type="noConversion"/>
  </si>
  <si>
    <t>某公司2×14年1月1日发行面值总额为3000万元的债券，取得的款项专门用于建造厂房。该债券系分期付息、到期还本债券，期限为4年，票面年利率为12％，每年12月31日支付当年利息。该债券年实际利率为8％。债券发行价格总额为3397.32万元，款项已存入银行。厂房于2×14年1月1日开工建造，2×14年度累计发生建造工程支出1800万元。经批准，当年甲公司将尚未使用的债券资金投资于国债，取得投资收益160万元。2×14年12月31日工程尚未完工，该在建工程的账面余额为(  ) 万元。</t>
    <phoneticPr fontId="1" type="noConversion"/>
  </si>
  <si>
    <t>1800+3397.32*8%-160 = 1911.79</t>
    <phoneticPr fontId="1" type="noConversion"/>
  </si>
  <si>
    <t>甲公司2×14年1月1日为建造一生产线，向银行借入500万美元的专门借款，期限为三年，年利率为10%，利息按季计算，到期支付。1月1日借入时的市场汇率为1美元＝6.45元人民币，3月31日的市场汇率为1美元＝6.5元人民币。假设2×14年第一季度属于资本化期间，则第一季度外币专门借款汇兑差额的资本化金额为（   ）万元。</t>
    <phoneticPr fontId="1" type="noConversion"/>
  </si>
  <si>
    <t xml:space="preserve">本题为到期支付利息，所以2X14年第一季度汇兑差只是本金部分，不含利息。
2×14年1月1日：
借：银行存款——美元  3255=500×6.45
贷：长期借款   3255
2×14年3月31日：
借：在建工程  81.25=500×10%×1/4×6.5
贷：应付利息 81.25
本息汇兑差额（实际上只是本金有汇兑差额，利息当日产生没有汇兑差额）
借：在建工程   25=500×（6.5-6.45）
贷：长期借款  25
</t>
    <phoneticPr fontId="1" type="noConversion"/>
  </si>
  <si>
    <t>当存在混合借款时，一般借款开始资本化的时点不会早于专门借款。（  ）</t>
    <phoneticPr fontId="1" type="noConversion"/>
  </si>
  <si>
    <t>当存在混合借款时，会计政策规定先使用专门借款，然后使用一般借款。所以在专门借款没有用完之前，一般借款不涉及资本化处理。</t>
    <phoneticPr fontId="1" type="noConversion"/>
  </si>
  <si>
    <t>所谓利息资本化和费用化是针对实际利息而言，而不是针对名义利息。（  ）</t>
    <phoneticPr fontId="1" type="noConversion"/>
  </si>
  <si>
    <t>在会计处理时实际利息在借方（财务费用/在建工程），名义利息在贷方（应付利息）。</t>
    <phoneticPr fontId="1" type="noConversion"/>
  </si>
  <si>
    <t>在计算一般借款累计支出加权平均数时只需考虑当年使用的一般借款，而不必考虑以前年度的一般借款支出。（     ）</t>
    <phoneticPr fontId="1" type="noConversion"/>
  </si>
  <si>
    <t>一般借款累计支出加权平均数包括了从第一笔一般借款支出发生至当年年末累计投入的一般借款金额。</t>
    <phoneticPr fontId="1" type="noConversion"/>
  </si>
  <si>
    <t>菜子学院</t>
    <phoneticPr fontId="1" type="noConversion"/>
  </si>
  <si>
    <t>多选题</t>
    <phoneticPr fontId="1" type="noConversion"/>
  </si>
  <si>
    <t>下列各项中，企业应作为短期薪酬进行会计处理的有（）。</t>
    <phoneticPr fontId="1" type="noConversion"/>
  </si>
  <si>
    <t>由企业负担的职工医疗保险费</t>
    <phoneticPr fontId="1" type="noConversion"/>
  </si>
  <si>
    <t>向职工发放的高温补贴</t>
    <phoneticPr fontId="1" type="noConversion"/>
  </si>
  <si>
    <t>由企业负担的职工住房公积全</t>
    <phoneticPr fontId="1" type="noConversion"/>
  </si>
  <si>
    <t>向职工发放的工资</t>
    <phoneticPr fontId="1" type="noConversion"/>
  </si>
  <si>
    <t>企业将自产产品作为非货币性福利发放给职工时，应当按照该产品的账面价值确定职工薪酬金额。（）（2019年）</t>
    <phoneticPr fontId="1" type="noConversion"/>
  </si>
  <si>
    <t>企业对向职工提供的非货而性福利进行计量时，应选择的计量属性是（）。</t>
    <phoneticPr fontId="1" type="noConversion"/>
  </si>
  <si>
    <t>现值</t>
    <phoneticPr fontId="1" type="noConversion"/>
  </si>
  <si>
    <t>历史成本</t>
    <phoneticPr fontId="1" type="noConversion"/>
  </si>
  <si>
    <t>重置成本</t>
    <phoneticPr fontId="1" type="noConversion"/>
  </si>
  <si>
    <t>公允价值</t>
    <phoneticPr fontId="1" type="noConversion"/>
  </si>
  <si>
    <t>甲公司为增值税一般纳税人，销售商品适用的增值税税率为13％。甲公司董事会决定将本公司生产的500件产品作为福利发放给公司管理人员。该批产品的单位成本为1.2万元（未计提存货跌价准备）市场销售价格为每件2万元（不含增值税）。不考虑其他相关税费，甲公司在2018年因该项业务对当期损益的影响金额为（）万元。</t>
    <phoneticPr fontId="1" type="noConversion"/>
  </si>
  <si>
    <t>企业发生的下列各项融资费用中，不属于借款费用的是（）。</t>
    <phoneticPr fontId="1" type="noConversion"/>
  </si>
  <si>
    <t>股票发行费用</t>
  </si>
  <si>
    <t>长期借款的手续费</t>
  </si>
  <si>
    <t>外币借款的汇兑差额</t>
  </si>
  <si>
    <t>溢价发行债券的利息调整</t>
  </si>
  <si>
    <t>下列各项中，属于借款费用的有（）。</t>
    <phoneticPr fontId="1" type="noConversion"/>
  </si>
  <si>
    <t>银行借款的利息</t>
  </si>
  <si>
    <t>债券溢价的滩销</t>
  </si>
  <si>
    <t>债券折价的滩销</t>
  </si>
  <si>
    <t>发行股票的手续费</t>
  </si>
  <si>
    <t>下列项目中，属于借款费用可予资本化的资产范围的有（）。</t>
  </si>
  <si>
    <t>经过相当长时间的购建达到预定可使用状态的投资性房地产</t>
  </si>
  <si>
    <t>需要经过相当长时间的生产活动才能达到可销售状态的存货</t>
  </si>
  <si>
    <t>经营性租赁租入的生产设备</t>
  </si>
  <si>
    <t>经过2年的建造可达到预定可使用状态的生产设备</t>
  </si>
  <si>
    <t>2018年2月18日，甲公司以自有资金支付了建造厂房的首期工程款工程于2018年3月2日施工。2018年6月1日甲公司从银行借入于当日开始计息的专门借款，并于2018年6月26日使用该顶专门借款支付第二期工程款，该顶专门借款利息廾始资本化的时点为（）。</t>
  </si>
  <si>
    <t>2018年6月26日</t>
    <phoneticPr fontId="1" type="noConversion"/>
  </si>
  <si>
    <t>2018年3月2日</t>
    <phoneticPr fontId="1" type="noConversion"/>
  </si>
  <si>
    <t>2018年2月18日</t>
    <phoneticPr fontId="1" type="noConversion"/>
  </si>
  <si>
    <t>2018年6月1日</t>
    <phoneticPr fontId="1" type="noConversion"/>
  </si>
  <si>
    <t>符合资本化条件的资产在构建过程中发生了正常中断，且中断时间连续超过一个月的，企业应暂停借款费用资本化。（）</t>
    <phoneticPr fontId="1" type="noConversion"/>
  </si>
  <si>
    <t>劳务纠纷</t>
  </si>
  <si>
    <t>安全事故</t>
  </si>
  <si>
    <t>资金周转困难</t>
  </si>
  <si>
    <t>可预测的气候影响</t>
  </si>
  <si>
    <t>2010年2月1日，甲公司为建造一栋厂房向银行取得一笔专门借款。2010年3月5日，以该借款支付前期订购的工程物资款。因征地拆迁发生纠纷，该厂房延迟至2010年7月1日才开工兴建，开始支付其他工程款。2011年2月28日，该厂房建造完成达到预定可使用状态。2011年4月30日，甲公司办理工程竣工决算。不考虑其他因素，甲公司该笔借款费用的资本化期间为（）。</t>
  </si>
  <si>
    <t>2010年2月1日至2011年430日</t>
  </si>
  <si>
    <t>2010年3月5日至2011年228日</t>
  </si>
  <si>
    <t>2010年7月1日至2011年2月28日</t>
  </si>
  <si>
    <t>2010年7月1日至2011年4月30日</t>
  </si>
  <si>
    <t>企业用于建造厂房的专门借款，在借款费用资本化期间，其尚未动用部分存入银行取得的利息，应冲减财务费用。（）（2019年）</t>
  </si>
  <si>
    <t>A公司为建造厂房于2017年4月1日从银行借入4000万元专门借款，借款期限为2年，年利率为6％，不考虑借款手续费。该项专门借款在银行的存款年利率为3％，2017年7月1日，A公司采取出包方式委托B公司为其建造该厂房，并预付了2000万元工程款，厂房实体建造工作于当日开始，预计工程建造期为2年。该工程因发生施工安全事故在2017年8月1日至11月30日中断施工，2017年12月1日恢复正常施工，至年末工程尚未完工。该项厂房建造工程在2017年度应予资本化的利息金额为（）万元。</t>
  </si>
  <si>
    <t>企业借款费用开始资本化之前发生的借款辅助费用，应将其全部发生额计入当期损益。（）</t>
  </si>
  <si>
    <t>ABCD</t>
    <phoneticPr fontId="1" type="noConversion"/>
  </si>
  <si>
    <t>短期薪酬包括：
 - 职工工资、奖金、津贴补贴（项目很多，总额很少）
 - 职工福利费（送温暖：送钱）
 - 医疗、工伤、生育社会保险费（不含失业和养老）
 - 住房公积金
 - 工会经费、职工教育经费
 - 短期带薪缺勒：企业支付工资或提供补偿的职工缺勤，包括：
  - 年休假、病假、短期伤残、婚假、产假、丧假、探亲假等。
  - 累积带薪缺勤
  - 非累积带薪缺勤
 - 短期利润分享计划：因职工提供服务而与职工达成的 `基于利润或其他经营成果` 提供薪酬的协议。（高管）
 - 非货市性福利（送温暖：送东西）
 - 其他短期薪酬</t>
    <phoneticPr fontId="1" type="noConversion"/>
  </si>
  <si>
    <t>非货币性福利：按照 `公允价值` 和相关税费（增值税）计量。</t>
    <phoneticPr fontId="1" type="noConversion"/>
  </si>
  <si>
    <t>D</t>
    <phoneticPr fontId="1" type="noConversion"/>
  </si>
  <si>
    <t>B</t>
    <phoneticPr fontId="1" type="noConversion"/>
  </si>
  <si>
    <t>非货币性福利：按照 `公允价值` 和相关税费（增值税）计量。
- 管理费用：2×500×(1+13%) = 1130万
- 主营业务收入：2×500 = 1000万
- 主营业务成本：1.2×500 = 600万
- 当期损益：1000-600-1130 = -730万</t>
    <phoneticPr fontId="1" type="noConversion"/>
  </si>
  <si>
    <t>A</t>
    <phoneticPr fontId="1" type="noConversion"/>
  </si>
  <si>
    <t>借款费用包括：
 - 借款利息
 - 折价或者溢价的滩销
 - 辅助费用
 - 因外币借款而发生的汇兑差额等
注意：
 - 承租人确认的融资租赁发生的融资费用属于借款费用。
 - 对于企业发生的 `权益性融资费用`（如：股票的佣金），`不应包括在借款费用中` 。</t>
    <phoneticPr fontId="1" type="noConversion"/>
  </si>
  <si>
    <t>ABC</t>
    <phoneticPr fontId="1" type="noConversion"/>
  </si>
  <si>
    <t>ABD</t>
    <phoneticPr fontId="1" type="noConversion"/>
  </si>
  <si>
    <t xml:space="preserve">资本化
 - 计入：资产成本
 - 符合资本化条件的资产：
  - 需要 `经过相当长时间`（≥1年）的购建或者生产活动才能达到预定可使用或者可销售状态的固定资产、投资性房地产和存货等资产。
  - 建造合同成本、无形资产的开发支出等在符合条件的情况下，也算。
</t>
    <phoneticPr fontId="1" type="noConversion"/>
  </si>
  <si>
    <t>开始资本化时点需要同时满足下列条件（因为同时，所以孰晚）：
 - 资产支出已经发生。（支付现金，转移非现金资产，承担带息债务）
 - 借款费用已经发生。
 - 为使资产达到预定可使用或者可销售状态所必要的购建或者生产活动已经开始。
简单理解：花钱了、借钱了、开工了。
因此，题目中：
 - 花钱：2018年3月2日
 - 借钱：2018年6月1日
 - 开工：2018年3月2日
 - 孰晚（答案）：2018年6月1日</t>
    <phoneticPr fontId="1" type="noConversion"/>
  </si>
  <si>
    <t>非正常中断（连续超过3个月）：费用化（财务费用）
 - 通常由于 `管理决策` 或其他 `不可预见` 原因。
  - 企业与施工方发生质量纠纷
  - 生产资料没有及时供应
  - 资金周转困难
  - 发生安全事故
  - 发生劳动纠纷等
正常中断：继续资本化（资产成本）
 - 生产中 `必要的程序` 或 `可预见` 的不可抗力导致。
  - 质量安全检查、测试、调试。
  - 可预见的不可抗力：雨季、冰冻季节</t>
    <phoneticPr fontId="1" type="noConversion"/>
  </si>
  <si>
    <t>非正常中断（连续超过3个月）：费用化（财务费用）
 - 通常由于 `管理决策` 或其他 `不可预见` 原因。
  - 企业与施工方发生质量纠纷
  - 生产资料没有及时供应
  - 资金周转困难
  - 发生安全事故
  - 发生劳动纠纷等
正常中断：继续资本化（资产成本）
 - 生产中 `必要的程序` 或 `可预见` 的不可抗力导致。
  - 质量安全检查、测试、调试。
  - 可预见的不可抗力：雨季、冰冻季节</t>
    <phoneticPr fontId="1" type="noConversion"/>
  </si>
  <si>
    <t>C</t>
    <phoneticPr fontId="1" type="noConversion"/>
  </si>
  <si>
    <t>开始资本化时点：花钱了、借钱了、开工了。因此是2010年7月1日。
停止资本化时点：建造完成、要求基本符合、后续支出很少。不看：验收合格、竣工结算、手续已交、正式使用。因此是：2011年2月28日</t>
    <phoneticPr fontId="1" type="noConversion"/>
  </si>
  <si>
    <t>专门借款，在资本化期间，全算资本化金额（利息-闲置资金收益），计入资产成本。</t>
    <phoneticPr fontId="1" type="noConversion"/>
  </si>
  <si>
    <t>第一步，得出资本化期间：
 - 2017年7月1日~2017年8月1日
 - 2017年12月1日~以后
 - 2个月
第二步，计算资本化金额：
 - 利息：4000×6%×2月÷12月 = 40万
 - 闲置收入：2000×3%×2月÷12月 = 10万
 - 资本化金额：40-10 = 30万</t>
    <phoneticPr fontId="1" type="noConversion"/>
  </si>
  <si>
    <t>对于企业发生的专门借款或一般借款的辅助费用，包括：
 - 借款手续费
 - 佣金等
在所购建或者生产的符合资本化条件的资产达到预定可使用或者可销售状态 `之前发生的` ，应当在发生时根据其发生额予以 `资本化` 。
在所购建或者生产的符合资本化条件的资产达到预定可使用状态或者可销售状态 `之后所发生的`，应当在发生时根据其发生额确认为费用，`计入当期损益`。</t>
    <phoneticPr fontId="1" type="noConversion"/>
  </si>
  <si>
    <t>题目说法正确。</t>
    <phoneticPr fontId="1" type="noConversion"/>
  </si>
  <si>
    <t>√</t>
    <phoneticPr fontId="1" type="noConversion"/>
  </si>
  <si>
    <t>甲企业由投资者A、B和C组成，协议规定，相关活动的决策至少需要75%表决权通过才能实施。假定A、B和C投资者任意两方均可达成一致意见，但三方不可能同时达成一致意见。下列项目中属于共同控制的是（）。</t>
    <phoneticPr fontId="1" type="noConversion"/>
  </si>
  <si>
    <t>A公司、B公司、C公司在该甲企业中拥有的表决权分别为50％、35％和15％</t>
    <phoneticPr fontId="1" type="noConversion"/>
  </si>
  <si>
    <t>A公司、B公司、C公司在该甲企业中拥有的表决权分别为50％、25％和25％</t>
    <phoneticPr fontId="1" type="noConversion"/>
  </si>
  <si>
    <t>A公司、B公司、C公司在该甲企业中拥有的表决权分别为80％、10％和10％</t>
    <phoneticPr fontId="1" type="noConversion"/>
  </si>
  <si>
    <t>A公司、B公司、C公司在该甲企业中拥有的表决权分别为40％、30％和30％</t>
    <phoneticPr fontId="1" type="noConversion"/>
  </si>
  <si>
    <t>下列关于同一控制下企业合并形成的长期股权投资会计处理表述中，正确的有（）。</t>
    <phoneticPr fontId="1" type="noConversion"/>
  </si>
  <si>
    <t>丙公司为甲、乙公司的母公司，2018年1月1日，甲公司以银行存款7000万元取得乙公司60％有表决权的股份，另以银行存款100万元支付与合并直接相关的中介费用，当日办妥相关股杈划转手续后，取得了乙公司的控制权。乙公司在丙公司合并财务报表中的净资产账面价值值为9000万元。不考虑其他因素，甲公司该项长期股权投资在合并日的初始投资成本为（）万元。</t>
    <phoneticPr fontId="1" type="noConversion"/>
  </si>
  <si>
    <t>合并方发生的评估咨询费用，应计入当期损益</t>
    <phoneticPr fontId="1" type="noConversion"/>
  </si>
  <si>
    <t>与发行债务工具作为合并对价直接相关的交易费用，应计入债务工具的初始确认金额</t>
    <phoneticPr fontId="1" type="noConversion"/>
  </si>
  <si>
    <t>与发行权益工具作为合并对价直接相关的交易费用，应计入当期损益</t>
    <phoneticPr fontId="1" type="noConversion"/>
  </si>
  <si>
    <t>合并成本与合并对价账面价值之间的差额，应计入其他综合收益</t>
    <phoneticPr fontId="1" type="noConversion"/>
  </si>
  <si>
    <t>甲公司20×9年7月1日自母公司（丁公司）取得乙公司60％股权，当日，乙公司个别财务报表中净资产账面价值为3200万元。该股权系丁公司于20×7年6月自公开市场购入，丁公司在购入乙公司60％股权时确认了600万元商誉。20×9年7月1日，按丁公司取得该股权时乙公司可辨认净资产公允价值为基础持续计算的乙公司可辨认净资产价值为4800万元。为进行该项交易，甲公司支付有关审计等中介机构费用120万元。不考虑其他因素，甲公司应确认对乙公司股权投资的初始投资成本是（）万元。</t>
    <phoneticPr fontId="1" type="noConversion"/>
  </si>
  <si>
    <t>2019年6月30日，甲公司以银行存款1000万元及一项土地使用权取得其母公司控制的乙公司80％的股权，并于当日起能够对乙公司实施控制。合并日，该土地使用权的账面价值为3200万元，公允价值为4000万元。2019年6月30日，母公司合并财务报表中的调整后乙公司净资产账面价值为6250万元，乙公司个别报表净资产的账面价值为6000万元。假定甲公司与乙公司的会计年度和采用的会计政策相同，不考虑其他因素，甲公司的下列会计处理中，正确的是（）。</t>
    <phoneticPr fontId="1" type="noConversion"/>
  </si>
  <si>
    <t>确认长期股权投资5000万元，不确认资本公积</t>
    <phoneticPr fontId="1" type="noConversion"/>
  </si>
  <si>
    <t>确认长期股权投资5000万元，确认资本公积800万元</t>
    <phoneticPr fontId="1" type="noConversion"/>
  </si>
  <si>
    <t>确认长期股权投资4800万元，确认资本公积600万元</t>
    <phoneticPr fontId="1" type="noConversion"/>
  </si>
  <si>
    <t>确认长期股权投资4800万元，冲减资本公积200万元</t>
    <phoneticPr fontId="1" type="noConversion"/>
  </si>
  <si>
    <t>2×18年1月1日，甲公司以定向增发1500万股普通股（每股面值为1元、公允价值为6元）的方式取得乙公司80％股权，另以银行存款支付股票发行费用300万元，相关手续于当日完成，取得了乙公司的控制权，该企业合并不属于反向购买。当日，乙公司所有者权益的账面价值为12000万元。本次投资前，甲公司与乙公司不存在关联方关系。不考虑其他因素，甲公司该长期股权投资的初始投资成本（）万元。（2019年）</t>
    <phoneticPr fontId="1" type="noConversion"/>
  </si>
  <si>
    <t>2×19年6月1日，甲公司以库存商品及专利权取得同一集团乙公司90％的股权，并于当日起能够对乙公司实施控制。合并日，库存商品的账面余额为60万元，公允价值为100万元，增值税率为13％，消费税率为5％，专利权的账面余额为500万元，累计摊销100万元，公允价值为600万元。合并日乙公司所有者权益在最终控制方合并财务报表中的账面价值为800万元，公允可辨认净资产为900万元。甲公司与乙公司的会计年度和采用的会计政策相同，甲公司基于上述资料的如下核算指标中，正确的有（）。</t>
    <phoneticPr fontId="1" type="noConversion"/>
  </si>
  <si>
    <t>确认长期股权投资720万元</t>
    <phoneticPr fontId="1" type="noConversion"/>
  </si>
  <si>
    <t>增加资公积242万元</t>
    <phoneticPr fontId="1" type="noConversion"/>
  </si>
  <si>
    <t>确认长期股权投资713万元</t>
    <phoneticPr fontId="1" type="noConversion"/>
  </si>
  <si>
    <t>确认商品转让收益35万元，确认专利权转让收益200万元</t>
    <phoneticPr fontId="1" type="noConversion"/>
  </si>
  <si>
    <t>增值税一般纳税企业以支付现金方式取得联营企业股权的，所支付的与股权投资直接相关的费用应计入当期损益（）。</t>
    <phoneticPr fontId="1" type="noConversion"/>
  </si>
  <si>
    <t>母公司是投资性主体的，对不纳入合并范围的子公司的投资应当按照公允价值进行后续计量，公允价值变动应当计入的财务报表项目是（）。（2019年）</t>
    <phoneticPr fontId="1" type="noConversion"/>
  </si>
  <si>
    <t>其他综合收益</t>
    <phoneticPr fontId="1" type="noConversion"/>
  </si>
  <si>
    <t>公允价值变动收益</t>
    <phoneticPr fontId="1" type="noConversion"/>
  </si>
  <si>
    <t>资本公积</t>
    <phoneticPr fontId="1" type="noConversion"/>
  </si>
  <si>
    <t>投资收益</t>
    <phoneticPr fontId="1" type="noConversion"/>
  </si>
  <si>
    <t>2019年1月1日甲公司取得乙公司30％的股权，从而能够对乙公司施加重大影响，甲公司支付价款3000万元。当日乙公司可辨认净资产账面价值为8000万元，公允价值为9000万元（差异包括一台固定资产账面价值为500万元，公允价值为800万元，剩余使用年限5年，预计净残值为零，采用年限平均法计提折旧，一批存货账面价值为800万元，公允价值为1500万元）。
2019年乙公司实现净利润800万元（取得投资时公允价值与账面价值不符的存货已对外出售80％）。不考虑其他因素，2019年12月31日，甲公司长期股权投资的账面价值为（）万元。</t>
    <phoneticPr fontId="1" type="noConversion"/>
  </si>
  <si>
    <t>甲公司2017年6月30日取得乙公司30％的股权，能够对乙公司施加重大影响。甲公司支付价款2000万元，当日乙公司可辨认净资产的账面价值8000万元（与公允价值相等）。2017年乙公司发生亏损5000万元（全年损益均匀实现），2018年乙公司发生亏损6000万元，2019年乙公司实现净利润3000万元，以上三年乙公司未发生其他所有者权益变动。不考虑其他因素，则甲公司2019年应确认的投资收益为（）万元。</t>
    <phoneticPr fontId="1" type="noConversion"/>
  </si>
  <si>
    <t>企业采用权益法核算长期股权投资的，在确认投资收益时，不需考虑顺流交易产生的未实现内部交易利润。（）</t>
    <phoneticPr fontId="1" type="noConversion"/>
  </si>
  <si>
    <t>2x18年1月1日，甲公司以银行存款3950万元取得乙公司30％的股份，另以银行存款50万元支付了与该投资直接相关的手续费，相关手续于当日完成能够对乙公司施加重大影响。当日，乙公司可辨认净资产的公允价值为14000万元。各顼可辨认资产、负债的公允价值均与其账面价值相同。乙公司2x18年实现净利润2000万元，其他债权投资的公允价值上升100万元。不考虑其他因素，下列各项中甲公司2×18年与该投资相关的会计处理中正确的有（）（2019年）</t>
    <phoneticPr fontId="1" type="noConversion"/>
  </si>
  <si>
    <t>多选题</t>
    <phoneticPr fontId="1" type="noConversion"/>
  </si>
  <si>
    <t>确认投资收益600万元</t>
    <phoneticPr fontId="1" type="noConversion"/>
  </si>
  <si>
    <t>确认财务费用50万元</t>
    <phoneticPr fontId="1" type="noConversion"/>
  </si>
  <si>
    <t>确认其他综合收益30万元</t>
    <phoneticPr fontId="1" type="noConversion"/>
  </si>
  <si>
    <t>确认营业外收入200万元</t>
    <phoneticPr fontId="1" type="noConversion"/>
  </si>
  <si>
    <t>2017年5月10日，甲公司将其持有的一项以权益法核算的长期股权投资全部出售，取得价款1200万元，当日办受手续。出售时，该顼长期股权投资的账面价值为1100万元，其中投资成本为700万元，损益调整为300万元，可重分类进损益的其他综合收益为100万元，不考虑增值税等相关税费及其他因素，甲公司处置该项股权投资应确认的相关投资收益为（）万元。</t>
    <phoneticPr fontId="1" type="noConversion"/>
  </si>
  <si>
    <t>A</t>
    <phoneticPr fontId="1" type="noConversion"/>
  </si>
  <si>
    <t>最小控制组合必须唯一，且不含单独控制。
选项A - 控制组合：AB
选项B - 控制组合：AB、AC
选项C - 控制组合：A单独可以控制
选项D - 控制组合：AB、AC</t>
    <phoneticPr fontId="1" type="noConversion"/>
  </si>
  <si>
    <t>C</t>
    <phoneticPr fontId="1" type="noConversion"/>
  </si>
  <si>
    <t>初始投资成本：9000×60％ = 5400万
中介费用计入：管理费用</t>
    <phoneticPr fontId="1" type="noConversion"/>
  </si>
  <si>
    <t>选项A：正确，计入管理费用
选项B：正确，计入应付债券——利息调整
选项C：错误，依次冲减资本公积和留存收益。
选项D：错误，贷差计入资本公积，借差依次冲减资本公积和留存收益。</t>
    <phoneticPr fontId="1" type="noConversion"/>
  </si>
  <si>
    <t>母公司丁在买乙的时候谁也不认识谁，公平交易，多花了钱。因此，丁认为的乙比乙自己认为的净资产更多。
(丁账上乙的可辨认+丁账上乙的不可辨认)×比例
(4800+600÷60%)×60% = 3480万
600÷60%是丁公司收乙公司时，乙公司商誉的100%。</t>
    <phoneticPr fontId="1" type="noConversion"/>
  </si>
  <si>
    <t>AB</t>
    <phoneticPr fontId="1" type="noConversion"/>
  </si>
  <si>
    <t>D</t>
    <phoneticPr fontId="1" type="noConversion"/>
  </si>
  <si>
    <t>B</t>
    <phoneticPr fontId="1" type="noConversion"/>
  </si>
  <si>
    <t>确认合并类型：同一控制下合并
确认长投成本：6250×80% = 5000万
确认付出代价：1000+3200 = 4200万
差额：少付钱，计入资本公积：800万</t>
    <phoneticPr fontId="1" type="noConversion"/>
  </si>
  <si>
    <t>D</t>
    <phoneticPr fontId="1" type="noConversion"/>
  </si>
  <si>
    <t>确认合并类型：非同一控制下合并
确认长投成本：1500×6 = 9000万
手续费依次冲减资本公积和留存收益。</t>
    <phoneticPr fontId="1" type="noConversion"/>
  </si>
  <si>
    <t>确认合并类型：同一控制下合并
确认长投成本：800×90% = 720万
确认付出代价：[60+100×(13%+5%)]+[500-100] = 478万 （专利权没说要交税）
差额：少付钱，计入资本公积：242万</t>
    <phoneticPr fontId="1" type="noConversion"/>
  </si>
  <si>
    <t>AB</t>
    <phoneticPr fontId="1" type="noConversion"/>
  </si>
  <si>
    <t>×</t>
    <phoneticPr fontId="1" type="noConversion"/>
  </si>
  <si>
    <t>联营企业意味着：非控制形成的长期股权投资（重大影响）。
应当按照 实际支付的购买价款 作为初始投资成本，包括与取得长期股权投资直接相关的：
- 费用
- 税金
- 他必要支出</t>
    <phoneticPr fontId="1" type="noConversion"/>
  </si>
  <si>
    <t>B</t>
    <phoneticPr fontId="1" type="noConversion"/>
  </si>
  <si>
    <t>风险投资机构、共同基金以及类似主体持有的、在初始确认时按照金融工具确认和计量准则的规定以公允价值计量目其变动计入当期损益的金融资产（交易性金融资产），投资性主体对不纳入合并财务报表的子公司的权益性投资，应当按照金融工具确认和计量准则进行后续计量。（简单理解：哪怕买了很多股份，也只是等一天卖掉它，不参与管理决策。）</t>
    <phoneticPr fontId="1" type="noConversion"/>
  </si>
  <si>
    <t>确认长期股权投资的计量模式：重大影响 → 权益法
净资产份额：9000×30% = 2700万 &lt; 3000万（花多了）
长期股权投资——投资成本：3000万
主营业务成本调整净利润：(800-1500)×80% = -560万
固定资产折旧调整净利润：(500-800)÷5 = -60万
调整后净利润：800-560-60 = 180万
长期股权投资——损益调整：180×30% = 54万
长期股权投资的账面价值：3000+54 = 3054万</t>
    <phoneticPr fontId="1" type="noConversion"/>
  </si>
  <si>
    <t>C</t>
    <phoneticPr fontId="1" type="noConversion"/>
  </si>
  <si>
    <t>确认长期股权投资的计量模式：重大影响 → 权益法
净资产份额：8000×30% = 2400万 &gt; 2000万（花少了）
长期股权投资——投资成本：2400万
2017年发生亏损：-5000×30%×6÷12 = -750万
2018年发生亏损：-6000×30% = -1800万（累计-2550）
备查登记：2550-2400 = 150万
2019年实现净利润：3000×30% = 900万
备查登记：清零
投资收益：900-150 = 750万</t>
    <phoneticPr fontId="1" type="noConversion"/>
  </si>
  <si>
    <t>投资企业在采用权益法确认投资收益时，应 [抵销] 与其联营企业或合营企业之间发生的未实现内部交易损益。（包括逆流和顺流）</t>
    <phoneticPr fontId="1" type="noConversion"/>
  </si>
  <si>
    <t>ACD</t>
    <phoneticPr fontId="1" type="noConversion"/>
  </si>
  <si>
    <t>确认长期股权投资的计量模式：30%重大影响 → 权益法
买入
- 花的钱：3950+50 = 4000万
- 净资产份额：14000×30% = 4200万 &gt; 4000万（花少了）
- 营业外收入：4200-4000 = 200万
实现净利润 - 投资收益：2000×30% = 600万
其他债权投资的公允价值上升100万 - 其他综合收益：100×30% = 30万</t>
    <phoneticPr fontId="1" type="noConversion"/>
  </si>
  <si>
    <t>确认长期股权投资的计量模式：权益法
分录：
借：银行存款 1200
贷：长期股权投资——投资成本 700
    长期股权投资——损益调整 300
    长期股权投资——其他综合收益 100
    投资收益 100
借：其他综合收益 100
贷：投资收益 100
1200-(700+300)+100 = 200</t>
    <phoneticPr fontId="1" type="noConversion"/>
  </si>
  <si>
    <t>丙公司为甲、乙公司的母公司，2018 年 1 月 1 日，甲公司以银行存款 7 000 万元取得乙公司 60%有表决权的股份，另以银行存款 100 万元支付与合并直接相关的中介费用，当日办妥相关股权划转手续后，取得了乙公司的控制权；乙公司在丙公司合并财务报表中的净资产账面价值为 9 000 万元。不考虑其他因素，甲公司该项长期股权投资在合并日的初始投资成本为（   ）万元。</t>
    <phoneticPr fontId="1" type="noConversion"/>
  </si>
  <si>
    <t>C</t>
    <phoneticPr fontId="1" type="noConversion"/>
  </si>
  <si>
    <t>同一控制下企业合并，长期股权投资的初始投资成本=被投资方相对于最终控制方而言的可辨认净资产账面价值份额=9 000×60%=5400（万元）。</t>
    <phoneticPr fontId="1" type="noConversion"/>
  </si>
  <si>
    <t>下列关于同一控制下企业合并形成的长期股权投资会计处理表述中，正确的有(     )。</t>
    <phoneticPr fontId="1" type="noConversion"/>
  </si>
  <si>
    <t>合并方发生的评估咨询费用，应计入当期损益</t>
    <phoneticPr fontId="1" type="noConversion"/>
  </si>
  <si>
    <t>与发行债务工具作为合并对价直接相关的交易费用，应计入债务工具的初始确认金额</t>
    <phoneticPr fontId="1" type="noConversion"/>
  </si>
  <si>
    <t>与发行权益工具作为合并对价直接相关的交易费用，应计入当期损益</t>
    <phoneticPr fontId="1" type="noConversion"/>
  </si>
  <si>
    <t>合并成本与合并对价账面价值之间的差额，应计入其他综合收益</t>
    <phoneticPr fontId="1" type="noConversion"/>
  </si>
  <si>
    <t>AB</t>
    <phoneticPr fontId="1" type="noConversion"/>
  </si>
  <si>
    <t>本题考核同一控制下企业合并形成的长期股权投资的会计处理。
选项 C，与发行权益工具作为合并对价直接相关的交易费用，应冲减资本公积，资本公积不足冲减的，调整留存收益；
选项 D，合并成本与合并对价账面价值之间的差额，应计入资本公积，资本公积不足冲减的，调整留存收益。</t>
    <phoneticPr fontId="1" type="noConversion"/>
  </si>
  <si>
    <t>增值税一般纳税企业支付现金方式取得联营企业股权的，所支付的与股权投资直接相关的费用应计入当期损益。（   ）</t>
    <phoneticPr fontId="1" type="noConversion"/>
  </si>
  <si>
    <t>本题考核联营企业投资的相关费用的会计处理。取得联营企业（非控制）股权投资支付的直接相关费用，应计入其初始投资成本。
支付现金取得的长期股权投资：应当按照 `实际支付的购买价款` 作为初始投资成本，包括与取得长期股权投资直接相关的：
- 费用
- 税金
- 他必要支出
权益性证券取得的长期股权投资：应当按照发行权益性证券的 `公允价值` 作为初始投资成本。权益性证券的发行费用，依次冲减：`资本公积——股本溢价` ，`盈余公积`，`利润分配——未分配利润`。</t>
    <phoneticPr fontId="1" type="noConversion"/>
  </si>
  <si>
    <t>下列关于取得长期股权投资的会计处理中，正确的有（ ）。</t>
    <phoneticPr fontId="1" type="noConversion"/>
  </si>
  <si>
    <t>企业合并时与发行债券相关的交易费用，应计入所发行债券的初始计量金额</t>
    <phoneticPr fontId="1" type="noConversion"/>
  </si>
  <si>
    <t>非同一控制下一次性交易实现的企业合并，长期股权投资的初始投资成本以付出对价的公允价值为基础确定</t>
    <phoneticPr fontId="1" type="noConversion"/>
  </si>
  <si>
    <t>企业合并时与发行权益性证券相关的交易费用，计入当期损益</t>
    <phoneticPr fontId="1" type="noConversion"/>
  </si>
  <si>
    <t>同一控制下企业合并时，合并方发生的评估咨询费等应计入当期管理费用</t>
    <phoneticPr fontId="1" type="noConversion"/>
  </si>
  <si>
    <t>ABD</t>
    <phoneticPr fontId="1" type="noConversion"/>
  </si>
  <si>
    <t>本题考核长期股权投资的会计处理。 选项C错误：与发行权益性工具作为合并对价直接相关的交易费用，应当冲减资本公积（资本溢价或股本溢价），资本公积（资本溢价或股本溢价）不足冲减的，依次冲减盈余公积和未分配利润。</t>
    <phoneticPr fontId="1" type="noConversion"/>
  </si>
  <si>
    <t>股份有限公司股票发行没有溢价或溢价金额不足以支付发行费用的部分，应计入（   ）。</t>
    <phoneticPr fontId="1" type="noConversion"/>
  </si>
  <si>
    <t>盈余公积</t>
    <phoneticPr fontId="1" type="noConversion"/>
  </si>
  <si>
    <t>未分配利润</t>
    <phoneticPr fontId="1" type="noConversion"/>
  </si>
  <si>
    <t>资本公积——资本溢价</t>
    <phoneticPr fontId="1" type="noConversion"/>
  </si>
  <si>
    <t>管理费用</t>
    <phoneticPr fontId="1" type="noConversion"/>
  </si>
  <si>
    <t>AB</t>
    <phoneticPr fontId="1" type="noConversion"/>
  </si>
  <si>
    <t>本题考核发行权益性工具的发行费用的会计处理。 【题目写了：没有溢价或溢价金额不足】与发行权益性工具作为合并对价直接相关的交易费用，应当冲减资本公积（资本溢价或股本溢价），资本公积（资本溢价或股本溢价）不足冲减的，依次冲减盈余公积和未分配利润。</t>
    <phoneticPr fontId="1" type="noConversion"/>
  </si>
  <si>
    <t>20×4年2月1日，甲公司以增发1000万股本公司普通股股票和一台大型设备为对价，取得乙公司25%股权。其中，所发行普通股面值为每股1元，公允价值为每股10元。为增发股份，甲公司向证券承销机构等支付佣金和手续费400万元。用作对价的设备账面价值为1000万元，公允价值为1200万元。当日，乙公司可辨认净资产公允价值为40000万元。假定甲公司能够对乙公司施加重大影响。不考虑其他因素，甲公司该项长期股权投资的初始投资成本是(  )万元。</t>
    <phoneticPr fontId="1" type="noConversion"/>
  </si>
  <si>
    <t xml:space="preserve">本题考核长期股权投资的初始投资成本的确定。 
甲公司该项长期股权投资的初始投资成本＝1000×10＋1200＝11200(万元)，为增发股份支付的佣金和手续费冲减股份的溢价收入。 
相关会计分录为： 
借：长期股权投资11200  
贷：股本1000     
       资本公积——股本溢价9000     
       固定资产清理1000      
借：资本公积——股本溢价400  
贷：银行存款400
       资产处置损益200 </t>
    <phoneticPr fontId="1" type="noConversion"/>
  </si>
  <si>
    <t>甲公司20×3年7月1日自母公司(丁公司)取得乙公司60%股权，当日，乙公司个别财务报表中净资产账面价值为3 200万元，按丁公司取得该股权时乙公司可辨认净资产公允价值为基础持续计算的乙公司可辨认净资产价值为4 800万元。为进行该项交易，甲公司支付有关审计等中介机构费用120万元。不考虑其他因素，甲公司应确认对乙公司股权投资的初始投资成本是(   )万元。</t>
    <phoneticPr fontId="1" type="noConversion"/>
  </si>
  <si>
    <t>本题考核同一控制下长期股权投资的初始计量。 甲公司应确认对乙公司股权投资的初始投资成本=4 800×60%=2880(万元)。</t>
    <phoneticPr fontId="1" type="noConversion"/>
  </si>
  <si>
    <t>下列各项交易产生的费用中，不应计入相关资产成本或负债初始确认金额的是（   ）。</t>
    <phoneticPr fontId="1" type="noConversion"/>
  </si>
  <si>
    <t>外购无形资产发生的交易费用</t>
    <phoneticPr fontId="1" type="noConversion"/>
  </si>
  <si>
    <t>以合并以外方式取得的长期股权投资发生的交易费用</t>
    <phoneticPr fontId="1" type="noConversion"/>
  </si>
  <si>
    <t>合并方在非同一控制下的企业合并中发生的中介费用</t>
    <phoneticPr fontId="1" type="noConversion"/>
  </si>
  <si>
    <t>发行以摊余成本计量的公司债券时发生的交易费用</t>
    <phoneticPr fontId="1" type="noConversion"/>
  </si>
  <si>
    <t>C</t>
    <phoneticPr fontId="1" type="noConversion"/>
  </si>
  <si>
    <t>外购无形资产发生的交易费用计入无形资产成本，选项A错误；
以合并以外方式取得的长期股权投资发生的交易费用应计入长期股权投资的初始投资成本，选项B错误；
合并方在非同一控制下的企业合并中发生的中介费用应计入管理费用，选项C正确；
发行以摊余成本计量的公司债券时发生的交易费用应计入初始确认金额，选项D错误。</t>
    <phoneticPr fontId="1" type="noConversion"/>
  </si>
  <si>
    <t>下列各项交易费用中，应当于发生时直接计入当期损益的有(   )。</t>
    <phoneticPr fontId="1" type="noConversion"/>
  </si>
  <si>
    <t>多选题</t>
    <phoneticPr fontId="1" type="noConversion"/>
  </si>
  <si>
    <t>与取得交易性金融资产相关的交易费用</t>
    <phoneticPr fontId="1" type="noConversion"/>
  </si>
  <si>
    <t>同一控制下企业合并中发生的审计费用</t>
    <phoneticPr fontId="1" type="noConversion"/>
  </si>
  <si>
    <t>取得一项债权投资发生的交易费用</t>
    <phoneticPr fontId="1" type="noConversion"/>
  </si>
  <si>
    <t>非同一控制下企业合并中发生的资产评估费用</t>
    <phoneticPr fontId="1" type="noConversion"/>
  </si>
  <si>
    <t>ABD</t>
    <phoneticPr fontId="1" type="noConversion"/>
  </si>
  <si>
    <t>本题考核长期股权投资中的各种交易费用的会计处理。选项C，取得的债权投资发生的交易费用计入债权投资初始入账金额中。</t>
    <phoneticPr fontId="1" type="noConversion"/>
  </si>
  <si>
    <t>下列各项中,应当计入相关资产初始确认金额的有(    )。</t>
    <phoneticPr fontId="1" type="noConversion"/>
  </si>
  <si>
    <t>采购原材料过程中发生的装卸费</t>
    <phoneticPr fontId="1" type="noConversion"/>
  </si>
  <si>
    <t>取得债权投资时发生的交易费用</t>
    <phoneticPr fontId="1" type="noConversion"/>
  </si>
  <si>
    <t>通过非同一控制下企业合并取得子公司过程中支付的印花税</t>
    <phoneticPr fontId="1" type="noConversion"/>
  </si>
  <si>
    <t>取得联营企业股权投资支付的交易费用</t>
    <phoneticPr fontId="1" type="noConversion"/>
  </si>
  <si>
    <t>本题考核非同一控制下手续费的会计处理。选项C，应计入管理费用。</t>
    <phoneticPr fontId="1" type="noConversion"/>
  </si>
  <si>
    <t>以发行权益性证券取得的长期股权投资，为发行权益性证券支付的手续费、佣金等与发行直接相关的费用，应计入的科目是（  ）。</t>
    <phoneticPr fontId="1" type="noConversion"/>
  </si>
  <si>
    <t>长期股权投资</t>
    <phoneticPr fontId="1" type="noConversion"/>
  </si>
  <si>
    <t>资本公积——股本溢价</t>
    <phoneticPr fontId="1" type="noConversion"/>
  </si>
  <si>
    <t>投资收益</t>
    <phoneticPr fontId="1" type="noConversion"/>
  </si>
  <si>
    <t>管理费用</t>
    <phoneticPr fontId="1" type="noConversion"/>
  </si>
  <si>
    <t>B</t>
    <phoneticPr fontId="1" type="noConversion"/>
  </si>
  <si>
    <t>以发行权益性证券取得的长期股权投资，为发行权益性证券支付的手续费、佣金等与发行直接相关的费用，不构成长期股权投资的初始投资成本，这部分费用应自所发行证券的溢价发行收入中扣除，溢价收入不足冲减的，应依次冲减盈余公积和未分配利润。</t>
    <phoneticPr fontId="1" type="noConversion"/>
  </si>
  <si>
    <t xml:space="preserve"> 以下各项中，应作为长江公司长期股权投资核算的有（  ）。</t>
    <phoneticPr fontId="1" type="noConversion"/>
  </si>
  <si>
    <t>长江公司对同一集团内子公司（甲公司）的投资</t>
    <phoneticPr fontId="1" type="noConversion"/>
  </si>
  <si>
    <t>长江公司对联营企业乙公司的投资，持有其30%的股权</t>
    <phoneticPr fontId="1" type="noConversion"/>
  </si>
  <si>
    <t>长江公司从二级市场买入上市公司丙公司的股权，持股比例5%，且不能影响丙公司的财务和经营政策</t>
    <phoneticPr fontId="1" type="noConversion"/>
  </si>
  <si>
    <t>长江公司与黄河公司分别持有A公司50%股权，共同控制A公司</t>
    <phoneticPr fontId="1" type="noConversion"/>
  </si>
  <si>
    <t>本题考核长期股权投资的范围。
长期股权投资的范围包括：
（1）投资方能够对被投资单位实施控制的权益性投资，即对子公司投资，选项 A 正确；【对子公司的投资都是长投】
（2）投资方与其他合营方一同对被投资单位实施共同控制且对被投资单位净资产享有权利的权益性投资，即对合营企业投资，选项 D 正确；
（3）投资方对被投资单位具有重大影响的权益性投资，即对联营企业的投资，选项 B 正确；
投资方从二级市场买入的上市公司丙公司的股权，持股比例只有 5%，且不能影响丙公司的财务和经营政策，达不到控制，共同控制和重大影响，应作为金融资产进行核算，不属于长期股权投资，选项 C 错误。</t>
    <phoneticPr fontId="1" type="noConversion"/>
  </si>
  <si>
    <t>同一控制下企业合并形成的长期股权投资，合并方以转让非现金资产作为合并对价的，应当在合并日按照合并方付出资产的账面价值作为初始投资成本。（    ）</t>
    <phoneticPr fontId="1" type="noConversion"/>
  </si>
  <si>
    <t>判断题</t>
    <phoneticPr fontId="1" type="noConversion"/>
  </si>
  <si>
    <t>×</t>
    <phoneticPr fontId="1" type="noConversion"/>
  </si>
  <si>
    <t>本题考核同一控制下企业合并形成的长期股权投资初始投资成本的确定。
准则规定，合并方以支付现金、转让非现金资产或承担债务方式作为合并对价的，应当在合并日按照所取得的被合并方在最终控制方合并财务报表中的净资产的账面价值的份额作为长期股权投资的初始投资成本。</t>
    <phoneticPr fontId="1" type="noConversion"/>
  </si>
  <si>
    <t>简答题</t>
    <phoneticPr fontId="1" type="noConversion"/>
  </si>
  <si>
    <t>A公司与B公司均属于甲集团的子公司，2X20年1月1日，A公司以一批商品取得了B公司60%的股份，并于当日能够对B公司实施控制。合并日，该批商品的账面价值为2 500万元，公允价值为3 000万元，增值税税率为13%。合并日，B公司在最终控制方合并财务报表中的净资产的账面价值为6 000万元。A公司投资当日“资本公积—资本溢价”为100万元，盈余公积为50万元。假设A公司与B公司的会计年度和采用的会计政策相同。
要求：
（1）确定A公司取得B公司的长期股权投资的初始投资成本；
（2）编制A公司投资的会计分录。</t>
    <phoneticPr fontId="1" type="noConversion"/>
  </si>
  <si>
    <t>​（1）初始投资成本 = 6000×60% = 3600万
（2）分录：
借：长期股权投资 3600
贷：库存商品 2500
    ​  应交税费——应交增值税（销项税额） 390 (3000×13%)
    ​  资本公积——资本溢价 710</t>
    <phoneticPr fontId="1" type="noConversion"/>
  </si>
  <si>
    <t>A公司与B公司无任何关联方关系，2×20年1月1日，A公司以一台设备取得了B公司60%的股份，并于当日能够对B公司实施控制。购买日，该设备的账面原价为1 000万元，已提折旧200万元，已提减值准备50万元，公允价值为900万元，增值税税率为13%。购买日，B公司可辨认净资产公允价值为800万元。A公司投资当日“资本公积—资本溢价”为100万元，盈余公积为50万。假设A公司与B公司的会计年度和采用的会计政策相同。
要求：编制A公司初始投资的会计分录。</t>
    <phoneticPr fontId="1" type="noConversion"/>
  </si>
  <si>
    <t xml:space="preserve">A公司与B公司在合并前不存在任何关联方关系，为非同一控制下的企业合并。在购买日应确认对B公司的长期股权投资，购买方应当按照支付对价的公允价值作为长期股权投资的初始投资成本。
借：固定资产清理 750
       累计折旧 200
       固定资产减值损失 50
贷：固定资产 1000
​借：长期股权投资 1017（900+117）
贷：固定资产清理 750
       应交税费——应交增值税（销项税额）117（900×13%）
    ​   资产处置损益 150（差额）
</t>
    <phoneticPr fontId="1" type="noConversion"/>
  </si>
  <si>
    <t xml:space="preserve">A 公司与 B 公司在合并前不存在任何关联方关系，为非同一控制下的企业合并。在购买日应确认对 B 公司的长期股权投资，购买方应当按照支付对价的公允价值作为长期股权投资的初始投资成本。
​借：长期股权投资 530（500+30）
贷：无形资产 400
       应交税费——应交增值税（销项税额）30（500×6%）
       资产处置损益 100
</t>
    <phoneticPr fontId="1" type="noConversion"/>
  </si>
  <si>
    <t>A公司与B公司无任何关联方关系，2019年1月1曰，A公司以一项商标，取得B公司60%股，商标权的账面价值为400万元，公允价值为500万元，
增值税税率为6%。购买日，B公司可辨认净资产公允价值力500万元．A公司投资当日“资本公积一资本溢价”为20万元，盈余公积为10万。假设A公司
与B公司的会计年度和采用的会计政策相同。
要求：编制A公司初始投资的会计分录。</t>
    <phoneticPr fontId="1" type="noConversion"/>
  </si>
  <si>
    <t>A 公司与 S 公司为非同一控制下的企业合并。在购买日应确认对 S 公司的长期股权投资，初始投资成本为发行的权益性工具的公允价值。
借：长期股权投资 4340&gt;4000
贷：股本 1000
       资本公积 3340</t>
    <phoneticPr fontId="1" type="noConversion"/>
  </si>
  <si>
    <t xml:space="preserve"> 20×9年6月30日，A公司向集团外部B公司发行1000万股普通股（每股面值为1元，每股公允价值为4.34元），取得B公司拥有对S公司100%的股权，并于当日起能够对S公司实施控制。合并后S公司仍维持其独立法人地位继续经营。购买日S公司可辨认净资产公允价值为4000万元。假定A公司和B公司无任何关联方关系，在企业合并前采用的会计政策相同。不考虑相关税费等其他因素影响。 
要求：编制A公司初始投资的会计分录。</t>
    <phoneticPr fontId="1" type="noConversion"/>
  </si>
  <si>
    <t>2×18年1月1日,甲公司以定向增发1500万股普通股(每股面值为1元、公允价值为6元)的方式取得乙公司 80%股权,另以银行存款支付股票发行费用300万元,相关手续于当日完成,取得了乙公司的控制权,该企业合并不属于反向购买。当日,乙公司所有者权益的账面价值为12000万元,本次投资前,甲公司与乙公司不存在关联方关系。不考虑其他因素,甲公司该长期股权投资的初始投资成本为(   )万元 。</t>
    <phoneticPr fontId="1" type="noConversion"/>
  </si>
  <si>
    <t>D</t>
    <phoneticPr fontId="1" type="noConversion"/>
  </si>
  <si>
    <t xml:space="preserve">本题考核非同一控制下的企业合并下长期股权投资初始投资成本的计算。 甲公司取得乙公司的股权属于非同一控制下的企业合并,长期股权投资的初始投资成本=付出对价的公允价值=1500×6=9000(万元)。支付的股票发行费用应冲减发行溢价，即冲减资产公积—股本溢价。  </t>
    <phoneticPr fontId="1" type="noConversion"/>
  </si>
  <si>
    <t>2×19年1月1日,甲公司以银行存款3750万元取得乙公司30%的股份，另以银行存款50万元支付了与该投资直接相关的手续费,相关手续于当日完成，能够对乙公司施加重大影响。当日,乙公司可辨认净资产的公允价值为13000万元各项可辨认资产、负债的公允价值均与其账面价值相同。不考虑其他因素,甲公司该长期股权投资的初始投资成本为(   )万元.</t>
    <phoneticPr fontId="1" type="noConversion"/>
  </si>
  <si>
    <t>B</t>
    <phoneticPr fontId="1" type="noConversion"/>
  </si>
  <si>
    <t>本题考核企业合并以外的其他方式取得的长期股权投资的初始计量【非控制】。企业合并以外的方式以支付现金为对价取得的长期股权投资，应当按照实际支付的购买价款作为初始投资成本，包括与取得长期股权投资直接相关的费用、税金及其他必要支出，因此，长期股权投资的初始投资成本为3750+50=3800（万元）。</t>
    <phoneticPr fontId="1" type="noConversion"/>
  </si>
  <si>
    <t>2019 年 1 月 1 日，甲公司以银行存款 8 000 万元从丙公司处取得乙公司 70%有表决权的股份，另以银行存款 100 万元支付与合并直接相关的中介费用，当日办妥相关股权划转手续后，取得了乙公司的控制权；乙公司在丙公司合并财务报表中的净资产账面价值为10 000 万元。丙公司为甲、乙公司的母公司，不考虑其他因素，甲公司该项长期股权投资在合并日的初始投资成本为（   ）万元。</t>
    <phoneticPr fontId="1" type="noConversion"/>
  </si>
  <si>
    <t>本题考核同一控制下企业合并的长期股权投资的初始投资成本的确定。同一控制下企业合并，长期股权投资的初始投资成本=被投资方相对于最终控制方而言的可辨认净资产账面价值份额+最终控制方收购被合并方形成的商誉=10 000×70%+0=7000（万元）。</t>
    <phoneticPr fontId="1" type="noConversion"/>
  </si>
  <si>
    <t>下列关于非同一控制下企业合并形成的长期股权投资会计处理表述中，不正确的有(     )。</t>
    <phoneticPr fontId="1" type="noConversion"/>
  </si>
  <si>
    <t>合并方发生的评估咨询费用，应计入初始投资成本</t>
    <phoneticPr fontId="1" type="noConversion"/>
  </si>
  <si>
    <t>与发行债务工具作为合并对价直接相关的交易费用，应计入债务工具的初始确认金额</t>
    <phoneticPr fontId="1" type="noConversion"/>
  </si>
  <si>
    <t>与发行权益工具作为合并对价直接相关的交易费用，应计入当期损益</t>
    <phoneticPr fontId="1" type="noConversion"/>
  </si>
  <si>
    <t>ACD</t>
    <phoneticPr fontId="1" type="noConversion"/>
  </si>
  <si>
    <t>本题考核非同一控制下企业合并形成的长期股权投资的会计处理。
选项A，合并方发生的评估咨询费用，应计入当期损益；选项 C，与发行权益工具作为合并对价直接相关的交易费用，应冲减资本公积，资本公积不足冲减的，调整留存收益；选项 D，以无形资产作为合并对价的，合并成本与合并对价账面价值之间的差额，应计入资产处置损益。</t>
    <phoneticPr fontId="1" type="noConversion"/>
  </si>
  <si>
    <t>下列各项关于企业对长期股权投资会计处理的表述中,正确的有( )</t>
    <phoneticPr fontId="1" type="noConversion"/>
  </si>
  <si>
    <t>以合并方式取得子公司股权时, 支付的法律服务费计入管理费用</t>
    <phoneticPr fontId="1" type="noConversion"/>
  </si>
  <si>
    <t>以定向增发普通股的方式取得联营企业股权时,普通股的发行费用计入长期股权投资的初始投资成本</t>
    <phoneticPr fontId="1" type="noConversion"/>
  </si>
  <si>
    <t>以发行债券的方式取得子公司股权时,债券的发行费用计入长期股权投资的初始投资成本</t>
    <phoneticPr fontId="1" type="noConversion"/>
  </si>
  <si>
    <t>取得合营企业股权时,支付的手续费计入长期股权投资的初始投资成本</t>
    <phoneticPr fontId="1" type="noConversion"/>
  </si>
  <si>
    <t>AD</t>
    <phoneticPr fontId="1" type="noConversion"/>
  </si>
  <si>
    <t>本题考核长期股权投资的初始计量。
选项B错误：为发行权益性证券支付的手续费、佣金等与发行直接相关的费用,不构成长期股权投资的初始投资成本，这部分费用应自所发行证券的溢价发行收入中扣除，溢价收入不足冲减的，应依次冲减盈余公积和未分配利润【所有发行权益获得长投的发行费用都这样】
选项C错误：投资方通过发行债务性证券取得长期股权投资的，比照通过发行权益性证券（权益性工具）处理
选项D：属于其它方式获得长投
因此，本题选项A、D正确。</t>
    <phoneticPr fontId="1" type="noConversion"/>
  </si>
  <si>
    <t>甲公司对乙公司的长期股权投资采用权益法核算。乙公司发生的下列交易事项中，将导致甲公司长期股权投资账面价值发生变动的有（   ）。</t>
    <phoneticPr fontId="1" type="noConversion"/>
  </si>
  <si>
    <t>提取法定盈余公积</t>
    <phoneticPr fontId="1" type="noConversion"/>
  </si>
  <si>
    <t>接受其他企业的现金捐赠</t>
    <phoneticPr fontId="1" type="noConversion"/>
  </si>
  <si>
    <t>宣告分派现金股利</t>
    <phoneticPr fontId="1" type="noConversion"/>
  </si>
  <si>
    <t>实现净利润</t>
    <phoneticPr fontId="1" type="noConversion"/>
  </si>
  <si>
    <t>BCD</t>
    <phoneticPr fontId="1" type="noConversion"/>
  </si>
  <si>
    <t>本题考核权益法下长期股权投资的会计处理。 
选项 A：提取法定盈余公积，乙公司盈余公积增加，未分配利润减少，属于乙公司所有者权益内部项目发生增减变动，所有者权益总额未发生变化，因此，甲公司无需进行账务处理。
选项B：计入营业外收入，最终影响利润。</t>
    <phoneticPr fontId="1" type="noConversion"/>
  </si>
  <si>
    <t>2017 年 5 月 10 日，甲公司将其持有的一项以权益法核算的长期股权投资全部出售，取得价款1200 万元，当日办妥相关手续。出售时，该项长期股权投资的账面价值为 1100 万元， 其中投资成本为700 万元，损益调整为 300 万元，可重分类进损益的其他综合收益为 100 万元，不考虑增值税等相关税费及其他因素。甲公司处置该项股权投资应确认的投资收益为（   ）万元。</t>
    <phoneticPr fontId="1" type="noConversion"/>
  </si>
  <si>
    <t>C</t>
    <phoneticPr fontId="1" type="noConversion"/>
  </si>
  <si>
    <t>本题考核长期股权投资处置的会计处理。甲公司处置该项股权投资应确认的投资收益=1200-1100+100=200（万元）。（100是其他综合收益小尾巴的结转）</t>
    <phoneticPr fontId="1" type="noConversion"/>
  </si>
  <si>
    <t>2017 年 1 月 1 日，甲公司长期股权投资账面价值为 2 000 万元。当日，甲公司将持有的乙公司 80%股权中的一半以 1 200 万元出售给非关联方，剩余对乙公司的股权投资具有重大影响。甲公司原取得乙公司股权时，乙公司可辨认净资产的账面价值为2 500万元，各项可辨认资产、负债的公允价值与其账面价值相同。自甲公司取得乙公司股权投资至处置投资日，乙公司实现净利润 1 500 万元，增加其他综合收益 300 万元。假定不考虑增值税等相关税费及其他因素。下列关于 2017 年 1 月 1 日甲公司个别财务报表中对长期股权投资的会计处理表述中，正确的有（   ）。</t>
    <phoneticPr fontId="1" type="noConversion"/>
  </si>
  <si>
    <t>增加未分配利润 540 万元</t>
    <phoneticPr fontId="1" type="noConversion"/>
  </si>
  <si>
    <t>增加投资收益 320 万元</t>
    <phoneticPr fontId="1" type="noConversion"/>
  </si>
  <si>
    <t>增加其他综合收益 120 万元</t>
    <phoneticPr fontId="1" type="noConversion"/>
  </si>
  <si>
    <t>ABD</t>
    <phoneticPr fontId="1" type="noConversion"/>
  </si>
  <si>
    <t>增加盈余公积 60 万元</t>
    <phoneticPr fontId="1" type="noConversion"/>
  </si>
  <si>
    <t>本题考核成本法转为权益法的会计处理。
会计分录如下：
借：银行存款        1200
贷：长期股权投资       1000
        投资收益            200
成本法转为权益法：
借：长期股权投资——损益调整      600                 
                              ——其他综合收益  120 
贷：盈余公积           60（1500×40%×10%） 
       利润分配-未分配利润  540（1500×40%×90%） 
       其他综合收益            120（300×40%）</t>
    <phoneticPr fontId="1" type="noConversion"/>
  </si>
  <si>
    <t>企业采用权益法核算长期股权投资时，下列各项中，影响长期股权投资账面价值的有（   ）。</t>
    <phoneticPr fontId="1" type="noConversion"/>
  </si>
  <si>
    <t>被投资单位其他综合收益变动</t>
    <phoneticPr fontId="1" type="noConversion"/>
  </si>
  <si>
    <t>被投资单位发行一般公司债券</t>
    <phoneticPr fontId="1" type="noConversion"/>
  </si>
  <si>
    <t>被投资单位以盈余公积转增资本</t>
    <phoneticPr fontId="1" type="noConversion"/>
  </si>
  <si>
    <t>被投资单位实现净利润</t>
    <phoneticPr fontId="1" type="noConversion"/>
  </si>
  <si>
    <t>AD</t>
    <phoneticPr fontId="1" type="noConversion"/>
  </si>
  <si>
    <t>本题考核权益法下长期股权投资的会计处理。选项 B 和 C，被投资单位所有者权益总额不发生变动，投资方不需要调整长期股权投资账面价值。</t>
    <phoneticPr fontId="1" type="noConversion"/>
  </si>
  <si>
    <t>2015年1月1日，甲公司以银行存款2500万元取得乙公司20%有表决权的股份，对乙公司具有重大影响，采用权益法核算；乙公司当日可辨认净资产的账面价值为12 000万元，各项可辨认资产、负债的公允价值与其账面价值均相同。乙公司2015年度实现的净利润为1 000万元。不考虑其他因素，2015年12月31日，甲公司该项投资在资产负债表中应列示的年末余额为 ( 　　) 万元。</t>
    <phoneticPr fontId="1" type="noConversion"/>
  </si>
  <si>
    <t>本题考核权益法下长期股权投资的投资损益的确认。2015年12月31日，甲公司该项投资在资产负债表中应列示的年末余额=2 500+1 000×20%=2700(万元)。</t>
    <phoneticPr fontId="1" type="noConversion"/>
  </si>
  <si>
    <t>因部分处置长期股权投资，企业将剩余长期股权投资的核算方法由成本法转变权益法时进行的下列会计处理中，正确的有(     )。</t>
    <phoneticPr fontId="1" type="noConversion"/>
  </si>
  <si>
    <t>按照处置部分的比例结转应终止确认的长期股权投资成本</t>
    <phoneticPr fontId="1" type="noConversion"/>
  </si>
  <si>
    <t>剩余股权按照处置投资当期期初至处置投资日应享有的被投资单位已实现净损益中的份额调整当期损益</t>
    <phoneticPr fontId="1" type="noConversion"/>
  </si>
  <si>
    <t>剩余股权按照原取得投资时至处置投资当期期初应享有的被投资单位已实现净损益中的份额调整留存收益</t>
    <phoneticPr fontId="1" type="noConversion"/>
  </si>
  <si>
    <t>将剩余股权的账面价值大于按照剩余持股比例计算原投资时应享有的投资单位可辨认净资产公允价值份额的差额，调整长期股权投资的账面价值</t>
    <phoneticPr fontId="1" type="noConversion"/>
  </si>
  <si>
    <t>ABC</t>
    <phoneticPr fontId="1" type="noConversion"/>
  </si>
  <si>
    <t>本题长期股权投资成本法转权益法的会计处理。
选项A：正确。
选项B：正确，进投资收益。
选项C：正确，追溯调整，进留存收益。
选项D，剩余股权的账面价值大于按照剩余持股比例计算原投资时应享有的投资单位可辨认净资产公允价值份额的差额，不调整长期股权投资的账面价值。当剩余股权的账面价值小于按照剩余持股比例计算原投资时应享有的投资单位可辨认净资产公允价值份额的，在调整长期股权投资成本的同时，调整留存收益。</t>
    <phoneticPr fontId="1" type="noConversion"/>
  </si>
  <si>
    <t>下列各项中，影响长期股权投资账面价值增减变动的是（    ）。</t>
    <phoneticPr fontId="1" type="noConversion"/>
  </si>
  <si>
    <t>采用权益法核算的长期股权投资，持有期间被投资单位宣告分派股票股利</t>
    <phoneticPr fontId="1" type="noConversion"/>
  </si>
  <si>
    <t>采用权益法核算的长期股权投资，持有期间被投资单位宣告分派现金股利</t>
    <phoneticPr fontId="1" type="noConversion"/>
  </si>
  <si>
    <t>采用成本法核算的长期股权投资，持有期间被投资单位宣告分派股票股利</t>
    <phoneticPr fontId="1" type="noConversion"/>
  </si>
  <si>
    <t>采用成本法核算的长期股权投资，持有期间被投资单位宣告分派现金股利</t>
    <phoneticPr fontId="1" type="noConversion"/>
  </si>
  <si>
    <t>B</t>
    <phoneticPr fontId="1" type="noConversion"/>
  </si>
  <si>
    <t>本题考核长期股权投资成本法和权益法的核算。 
选项A和选项C，持有期间被投资单位宣告分派股票股利的，被投资单位不做账务处理，投资企业长期股权投资不论采用成本法核算还是权益法核算，均不作任何账务处理，因此，不会影响投资方长期股权投资账面价值的增减变动，选项AC错误；
选项B，采用权益法核算时，被投资单位宣告分派现金股利，投资企业借记“应收股利”科目，贷记“长期股权投资”科目，会减少长期股权投资的账面价值，选项B正确； 
选项D，采用成本法核算时，被投资单位宣告分派现金股利的，投资企业借记“应收股利”科目，贷记“投资收益”科目，不会影响投资方长期股权投资的增减变动，选项D错误。</t>
    <phoneticPr fontId="1" type="noConversion"/>
  </si>
  <si>
    <t>甲公司2014年1月1日以货币资金200万元对乙公司进行投资，占其注册资本的20%，采用权益法核算。至2015年12月31日，甲公司对乙公司股权投资的账面价值为300万元，其中其他综合收益为100万元。2016年1月2日甲公司以货币资金600万元追加对乙公司股权投资，取得乙公司40%股权，改用成本法核算。下列有关甲公司追加投资时的会计处理中，错误的是（ ）。</t>
    <phoneticPr fontId="1" type="noConversion"/>
  </si>
  <si>
    <t>“长期股权投资——投资成本（乙公司）”减少200万元</t>
    <phoneticPr fontId="1" type="noConversion"/>
  </si>
  <si>
    <t>“长期股权投资——其他综合收益（乙公司）”减少100万元</t>
    <phoneticPr fontId="1" type="noConversion"/>
  </si>
  <si>
    <t>“长期股权投资——乙公司”确认的金额为900万元</t>
    <phoneticPr fontId="1" type="noConversion"/>
  </si>
  <si>
    <t>“其他综合收益”减少100万元</t>
    <phoneticPr fontId="1" type="noConversion"/>
  </si>
  <si>
    <t>本题考核多次交易形成非同一控制下企业合并的会计处理。多次交易最终形成非同一控制下企业合并，个别财务报表采用成本法核算，原权益法核算下确认的资本公积和其他综合收益部分不进行调整。</t>
    <phoneticPr fontId="1" type="noConversion"/>
  </si>
  <si>
    <t>乙公司为丙公司和丁公司共同投资设立。2×17年1月1日，乙公司增值扩股，甲公司出资450万元取得乙公司30%股权并能够对其施加重大影响。甲公司投资日，乙公司可辨认净资产的公允价值和账面价值为1600万元。2×17年，乙公司实现净利润900万元，其他综合收益增加120万元。不考虑其他因素，下列各项关于甲公司2×17年对乙公司投资相关会计处理的表述中，正确的是（   ）。</t>
    <phoneticPr fontId="1" type="noConversion"/>
  </si>
  <si>
    <t>按照实际出资金额确定对乙公司投资的投资成本</t>
    <phoneticPr fontId="1" type="noConversion"/>
  </si>
  <si>
    <t>将按持股比例计算应享有乙公司其它综合收益变动的份额确认为投资收益</t>
    <phoneticPr fontId="1" type="noConversion"/>
  </si>
  <si>
    <t>投资时将实际出资金额与享有乙公司可辨认净资产份额之间的差额确认为其他综合收益</t>
    <phoneticPr fontId="1" type="noConversion"/>
  </si>
  <si>
    <t>2×17年资产负债表日该长期股权投资的账面价值为786万元。</t>
    <phoneticPr fontId="1" type="noConversion"/>
  </si>
  <si>
    <t>D</t>
    <phoneticPr fontId="1" type="noConversion"/>
  </si>
  <si>
    <t>本题考核长期股权投资。长期股权投资的初始投资成本为付出对价的450万元，初始投资成本小于乙公司净资产份额480万元（1600×30%）的差额，调整初始投资成本记入“长期股权投资——投资成本”科目，同时计入营业外收入，即乙公司投资的投资成本金额为480万元，选项A不正确；按持股比例计算其应享有乙公司其他综合收益的份额，应该确认为其他综合收益，选项B不正确；投资时，实际出资额和应享有乙公司的可辨认净资产的份额之间的差额，计入营业外收入，选项C不正确；2×17年资产负债表日该长期股权投资的账面价值=480+900×30%+120×30%=786万元，选项D正确。</t>
    <phoneticPr fontId="1" type="noConversion"/>
  </si>
  <si>
    <t>甲公司对乙公司的投资采用权益法进行后续计量</t>
    <phoneticPr fontId="1" type="noConversion"/>
  </si>
  <si>
    <t>甲公司对丙公司的投资采用成本法进行后续计量</t>
    <phoneticPr fontId="1" type="noConversion"/>
  </si>
  <si>
    <t>甲公司对丁公司的投资采用公允价值进行后续计量</t>
    <phoneticPr fontId="1" type="noConversion"/>
  </si>
  <si>
    <t>甲公司对戊公司的投资采用公允价值进行后续计量</t>
    <phoneticPr fontId="1" type="noConversion"/>
  </si>
  <si>
    <t>AC</t>
    <phoneticPr fontId="1" type="noConversion"/>
  </si>
  <si>
    <t>本题考核长期股权投资权益法和成本法的核算。 甲公司持丙公司50%股权，能够共同控制丙公司，采用权益法核算，选项B不正确；甲公司持有戊公司80%并能对其控制，采用成本法核算，选项D不正确。</t>
    <phoneticPr fontId="1" type="noConversion"/>
  </si>
  <si>
    <t>甲公司20×3年1月2日取得乙公司30%股权，并与其他投资方共同控制乙公司，甲、乙公司20×3年发生的下列交易或事项中会对甲公司20×3年个别财务报表中确认对乙公司投资收益产生影响的有(    )。</t>
    <phoneticPr fontId="1" type="noConversion"/>
  </si>
  <si>
    <t>乙公司股东大会通过发放股票股利的议案</t>
    <phoneticPr fontId="1" type="noConversion"/>
  </si>
  <si>
    <t>甲公司将成本为50万的产品以80万元出售给乙公司作为固定资产</t>
    <phoneticPr fontId="1" type="noConversion"/>
  </si>
  <si>
    <t>投资时甲公司投资成本小于应享有乙公司可辨认净资产公允价值的份额</t>
    <phoneticPr fontId="1" type="noConversion"/>
  </si>
  <si>
    <t>乙公司将账面价值200万元的专利权作价360万元出售给甲公司作为无形资产</t>
    <phoneticPr fontId="1" type="noConversion"/>
  </si>
  <si>
    <t>BD</t>
    <phoneticPr fontId="1" type="noConversion"/>
  </si>
  <si>
    <t>本题考核长期股权投资中投资方投资收益的确认。选项A，乙公司发放股票股利，甲公司不需要做账务处理，只需备查登记即可；选项C，权益法下投资成本小于应享有被投资单位可辨认净资产公允价值的份额应确认为营业外收入。</t>
    <phoneticPr fontId="1" type="noConversion"/>
  </si>
  <si>
    <t>甲公司与乙公司于2x17 年 8月12日签订协议，以1500万元的价款将其持有的一项以权益法核算的长期股权投资出售50%，剩余股权仍采用权益法核算，当日办妥相关手续。出售时，该项长期股权投资的账面价值为1300万元，其中投资成本为1000 万元，损益调整为 200 万元，可重分类进损益的其他综合收益为 100 万元，不考虑增值税等相关税费及其他因素。甲公司处置该项股权投资应确认的投资收益为（   ）万元。</t>
    <phoneticPr fontId="1" type="noConversion"/>
  </si>
  <si>
    <t>D</t>
    <phoneticPr fontId="1" type="noConversion"/>
  </si>
  <si>
    <t>本题考核长期股权投资部分处置的核算。甲公司处置该项股权投资应确认的投资收益=1500-1300×50%+100×50%=900（万元）</t>
    <phoneticPr fontId="1" type="noConversion"/>
  </si>
  <si>
    <t>企业采用权益法核算长期股权投资时，下列各项中，影响长期股权投资账面价值的有（   ）。</t>
    <phoneticPr fontId="1" type="noConversion"/>
  </si>
  <si>
    <t>被投资单位持有的其他权益工具投资发生正常波动</t>
    <phoneticPr fontId="1" type="noConversion"/>
  </si>
  <si>
    <t>被投资单位实际发放股票股利</t>
    <phoneticPr fontId="1" type="noConversion"/>
  </si>
  <si>
    <t>被投资单位以盈余公积转增资本</t>
    <phoneticPr fontId="1" type="noConversion"/>
  </si>
  <si>
    <t>被投资单位接受其他股东的资本性投入</t>
    <phoneticPr fontId="1" type="noConversion"/>
  </si>
  <si>
    <t>AD</t>
    <phoneticPr fontId="1" type="noConversion"/>
  </si>
  <si>
    <t>本题考核长期股权投资权益法的核算。
选项 A，被投资单位持有的其他权益工具投资发生正常波动，会导致其他综合收益发生变动，影响投资方的长期股权投资；
选项 B，权益法下，投资方收到被投资单位实际发放的股票股利，会引起每股账面价值的变动，被投资单位所有者权益总额不变，不会影响投资方长期股权投资的账面价值；
选项 C，被投资单位以盈余公积转增资本，属于所有者权益的内部变动，不会影响投资方账面价值的变动；
选项 D，被投资单位接受其他股东的资本性投入，属于被投资单位除净损益、其他综合收益以及利润分配以外的所有者权益的其他变动，应调整投资方长期股权投资的账面价值。</t>
    <phoneticPr fontId="1" type="noConversion"/>
  </si>
  <si>
    <t>因部分处置长期股权投资，企业将剩余长期股权投资的核算方法由成本法转变权益法时进行的下列会计处理中，正确的有</t>
    <phoneticPr fontId="1" type="noConversion"/>
  </si>
  <si>
    <t>应将长期股权投资成本全部终止确认</t>
    <phoneticPr fontId="1" type="noConversion"/>
  </si>
  <si>
    <t>剩余股权按照原取得投资时至处置投资日应享有的被投资单位已实现净损益中的份额调整留存收益</t>
    <phoneticPr fontId="1" type="noConversion"/>
  </si>
  <si>
    <t>对于被投资单位其他综合收益变动中应享有的份额，在调整长期股权投资账面价值的同时，应当计入其他综合收益</t>
    <phoneticPr fontId="1" type="noConversion"/>
  </si>
  <si>
    <t>剩余股权的账面价值小于按照剩余持股比例计算原投资时应享有的被投资单位可辨认净资产公允价值份额的差额，需要调整长期股权投资的账面价值</t>
    <phoneticPr fontId="1" type="noConversion"/>
  </si>
  <si>
    <t>CD</t>
    <phoneticPr fontId="1" type="noConversion"/>
  </si>
  <si>
    <t>本题考核长期股权投资成本法转权益法的核算。
选项 A，应按照处置部分的比例结转长期股权投资成本，选项 A 说法错误。
选项 B，剩余股权按照原取得投资时至处置投资当期期初应享有的被投资单位已实现净损益（扣除已宣告发放的现金股利和利润）中的份额调整留存收益，选项 B 说法错误。</t>
    <phoneticPr fontId="1" type="noConversion"/>
  </si>
  <si>
    <t>采用成本法核算的长期股权投资，在追加投资时，应当按照追加投资支付的成本的账面价值及发生的相关交易费用增加长期股权的账面价值。（  ）</t>
    <phoneticPr fontId="1" type="noConversion"/>
  </si>
  <si>
    <t>×</t>
    <phoneticPr fontId="1" type="noConversion"/>
  </si>
  <si>
    <t>本题考核长期股权投资成本法的核算。采用成本法核算的长期股权投资，在追加投资时，应当按照追加投资支付的成本的【公允价值】及发生的相关交易费用增加长期股权的账面价值。</t>
    <phoneticPr fontId="1" type="noConversion"/>
  </si>
  <si>
    <t>投资方与其联营企业及合营企业之间发生的无论是顺流交易还是逆流交易产生的未实现内部交易损失，其中属于所转让资产发生减值损失的，有关未实现内部交易损失不应予以抵销。（  ）</t>
    <phoneticPr fontId="1" type="noConversion"/>
  </si>
  <si>
    <t>√</t>
    <phoneticPr fontId="1" type="noConversion"/>
  </si>
  <si>
    <t>本题考核长期股权投资权益法的核算。</t>
    <phoneticPr fontId="1" type="noConversion"/>
  </si>
  <si>
    <t>投资方部分处置权益法核算的长期股权投资，剩余股权采用权益法核算的，原权益法核算的相关其他综合收益应当采用与被投资单位直接处置相关资产或负债相同的基础处理并按比例结转，因被投资方除净损益、其他综合收益和利润分配以外的其他所有者权益变动而确认的所有者权益，应当按比例结转入当期投资收益。（  ）</t>
    <phoneticPr fontId="1" type="noConversion"/>
  </si>
  <si>
    <t>题目说法正确。</t>
    <phoneticPr fontId="1" type="noConversion"/>
  </si>
  <si>
    <t>部分处置权益法核算的长期股权投资，剩余股权仍采用权益法核算的，原权益法核算的相关其他综合收益以不应予以结转。（   ）</t>
    <phoneticPr fontId="1" type="noConversion"/>
  </si>
  <si>
    <t>部分处置权益法核算的长期股权投资，剩余股权仍采用权益法核算的，原权益法核算的相关其他综合收益应当采用与被投资单位直接处置相关资产或负债相同的基础处理并按比例结转，因投资方除净损益、其他综合收益和利润分配以外的其他所有者权益变动而确认的所有者权益，应当按比例结转入当期投资收益。</t>
    <phoneticPr fontId="1" type="noConversion"/>
  </si>
  <si>
    <t>2021年1月2日，甲公司以银行存款2000万元取得乙公司30%的股权，投资时乙公司可辨认净资产公允价值及账面价值的总额均为8000万元。甲公司取得投资后可派人参与乙公司生产经营决策，但无法对乙公司实施控制。2021年5月9日，乙公司宣告分派现金股利400万元。2021年度，乙公司实现净利润800 万元。不考虑所得税等因素，该项投资对甲公司2021年度损益的影响金额为(   )万元</t>
    <phoneticPr fontId="1" type="noConversion"/>
  </si>
  <si>
    <t>本题考核权益法。该项投资对损益的影响额=(8000×30%-2000)+800×30%=640(万元) - 分派现金股利分录不影响损益</t>
    <phoneticPr fontId="1" type="noConversion"/>
  </si>
  <si>
    <t>2× 19年甲公司的合营企业乙公司发生的下列交易或事项中，将对甲公司当年投资收益产生影响的是(   )。</t>
    <phoneticPr fontId="1" type="noConversion"/>
  </si>
  <si>
    <t>乙公司宣告分配现金股利</t>
    <phoneticPr fontId="1" type="noConversion"/>
  </si>
  <si>
    <t>乙公司当年发生的电视台广告费</t>
    <phoneticPr fontId="1" type="noConversion"/>
  </si>
  <si>
    <t>乙公司持有的其他债权投资公允价值上升</t>
    <phoneticPr fontId="1" type="noConversion"/>
  </si>
  <si>
    <t>乙公司股东大会通过发放股票股利的议案</t>
    <phoneticPr fontId="1" type="noConversion"/>
  </si>
  <si>
    <t>本题考核权益法。乙公司宣告分配现金股利应借记“应收股利”，贷记“长期股权投资—损益调整”,不影响投资收益,选项A错误；乙公司当年发生的电视台广告费通过影响乙公司的当期损益（销售费用）影响乙公司的净利润,进而影响甲公司的投资收益,选项B正确；乙公司持有的其他债权投资公允价值上升，甲公司按照享有份额借记“长期股权投资—其他综合收益”，贷记“其他综合收益”,选项C错误；乙公司股东大会通过发放股票股利议案,属于乙公司所有者权益内部增减变动，不影响乙公司所有者权益总额，甲公司不用做账务处理，选项D错误。所以，本题选项B正确。</t>
    <phoneticPr fontId="1" type="noConversion"/>
  </si>
  <si>
    <t>下列各项中，资产减值损失一经确认，在以后会计期间不得转回的有（）。</t>
    <phoneticPr fontId="1" type="noConversion"/>
  </si>
  <si>
    <t>ABD</t>
    <phoneticPr fontId="1" type="noConversion"/>
  </si>
  <si>
    <t>下列导致固定资产建造中断时间连续超过3个月的事项，不应暂停借款费用资本化的是（）。</t>
    <phoneticPr fontId="1" type="noConversion"/>
  </si>
  <si>
    <t>在资本化期间内，外币专门借款本金及利息的汇总差额应予资本化。（）</t>
    <phoneticPr fontId="1" type="noConversion"/>
  </si>
  <si>
    <t>本题考核外币非货币性项目资产负债表日的会计处理。预计资产的未来现金流量如果涉及外币,企业应当按照下列步骤确定资产未来现金流量的现值。首先,应当以该资产所产生的未来现金流量的结算货币为基础预计其未来现金流量,并按照该货币适用的折现率计算资产预计未来现金流量的现值。其次,将该外币现值按照计算资产未来现金流量现值当日的即期汇率进行折算,从而折现成按照记账本位币表示的资产未来现金流量的现值。最后,在该现值基础上,将其与资产公允价值减去处置费用后的净额相比较,确定其可收回金额,再根据可收回金额与资产账面价值相比较,确定是否需要确认减值损失以及确认多少减值损失。</t>
    <phoneticPr fontId="1" type="noConversion"/>
  </si>
  <si>
    <t>甲公司为境内上市的非投资性主体，其持有其他企业股权或权益的情况如下：（1）持有乙公司30%的股权并能对其施加重大影响；（2）持有丙公司50%股权并能与丙公司的另一投资方共同控制丙公司；（3）持有丁公司5%股权但对丁公司不具有控制、共同控制和重大影响；（4）持有戊公司80%股权并能对其控制。下列各项关于甲公司持有其他企业股权或权益会计处理的表述中，正确的有（   ）。</t>
    <phoneticPr fontId="1" type="noConversion"/>
  </si>
  <si>
    <t>菜子学院</t>
    <phoneticPr fontId="1" type="noConversion"/>
  </si>
  <si>
    <t>下列各项中，属于或有事项的有（）</t>
    <phoneticPr fontId="1" type="noConversion"/>
  </si>
  <si>
    <t>为其他单位提供的债务担保</t>
  </si>
  <si>
    <t>企业与管理人员签订利润分享计划</t>
  </si>
  <si>
    <t>未决仲裁</t>
  </si>
  <si>
    <t>产品质保期内的质量保证</t>
  </si>
  <si>
    <t>或有负债无论涉及潜在义务还是现时义务，均不应在财务报表中确认，但应按相关规定在附注中披露。（）</t>
  </si>
  <si>
    <t>下列各项关于或有事项会计处理的表述中，正确的是（）（2019年）</t>
  </si>
  <si>
    <t>现时义务导致的预计负债，不能在资产负债表中列示为负债</t>
    <phoneticPr fontId="1" type="noConversion"/>
  </si>
  <si>
    <t>现时义务导致的预计负债，在资产负债表日无需复核</t>
  </si>
  <si>
    <t>潜在义务导致的或有负债，不能在资产负债表中列示为负债</t>
  </si>
  <si>
    <t>或有事项形成的或有资产，应在资产负债表中列示为资产</t>
  </si>
  <si>
    <t>对于很可能给企业带来经济利益的或有资产，企业应当披露其形成的原因、预计产生的财务影响等。（）</t>
    <phoneticPr fontId="1" type="noConversion"/>
  </si>
  <si>
    <t>下列关于或有事项的表述中，正确的有（）</t>
    <phoneticPr fontId="1" type="noConversion"/>
  </si>
  <si>
    <t>或有资产由过去的交易或事项形成</t>
  </si>
  <si>
    <t>或有负债应在资产负债表内予以确认</t>
  </si>
  <si>
    <t>或有资产不应在资产负债表内予以确认</t>
  </si>
  <si>
    <t>因或有事项所确认负债的偿债时间或金额不确定</t>
  </si>
  <si>
    <t>甲公司因违约被起诉，至2011年12月31日，人民法院尚未作出判决，经向公司法律顾问咨询，人民法院的最终判决很可能对本公司不利，预计赔偿额为20万元至50万元，而该区间内每个发生的全额大致相同。甲公司2011年12月31日由此应确认预计负债的金额为（）</t>
  </si>
  <si>
    <t>2×18年12月31日，甲公司涉及的一项产品质量未决诉讼案，败诉的可能性为80％。如果胜诉，不需支付任何费用，如果败诉，需支付赔偿金及诉讼费共计60万元，同时基本确定可从保险公司获得45万元的赔偿。当日，甲公司应确认预计负债的全额为（）万元。（2019年）</t>
    <phoneticPr fontId="1" type="noConversion"/>
  </si>
  <si>
    <t>2015年12月31日，甲公司涉及一项未决诉讼，预计很可能败诉，甲公司若败诉，需承担诉讼费10万元并支付赔款300万元但基本确定可从保险公司获得60万元的补偿。2015年12月31日，甲公司因该诉讼应确认预计负债的金额为（）万元。</t>
    <phoneticPr fontId="1" type="noConversion"/>
  </si>
  <si>
    <t>下列关于企业或有事项会计处理的表述中，正确的有（）</t>
    <phoneticPr fontId="1" type="noConversion"/>
  </si>
  <si>
    <t>因或有事项承担的义务，符合负债定义且满足负债确认条件的，应确认预计负债</t>
    <phoneticPr fontId="1" type="noConversion"/>
  </si>
  <si>
    <t>因或有事项承担的潜在义务，不应确认为预计负债</t>
    <phoneticPr fontId="1" type="noConversion"/>
  </si>
  <si>
    <t>因或有事项形成的潜在资产，应单独确认为一项资产</t>
    <phoneticPr fontId="1" type="noConversion"/>
  </si>
  <si>
    <t>因或有事项预期从第三方获得的补偿，补偿金额很可能收到的，应单独确认为一项资产</t>
    <phoneticPr fontId="1" type="noConversion"/>
  </si>
  <si>
    <t>2017年12月31日，甲公司有一项末决诉讼，预计在2017年年度财务报告批准报出日后判决，胜诉的可能性为60％，甲公司胜诉，将获得40万元至60万元的补偿，且这个区间内每个金额发生的可能性相同，不考虑其他因素，该未决诉讼对甲公司2017年12月31日资产负债表资产的影响为万元（）</t>
    <phoneticPr fontId="1" type="noConversion"/>
  </si>
  <si>
    <t>甲公司于2014年1月1日成立，承诺产品售后3年内向消费者免费提供维修服务，预计保修期内将发生的保修费在销售收入的3％至5％之间，且这个区间内每个金额发生的可能性相同。当年甲公司实现的销售收入为1000万元，实际发生的保修费为15万元。不考虑其他因素，甲公司2014年12月31日资产负债表预计负债项目的期末余额为（）万元。</t>
    <phoneticPr fontId="1" type="noConversion"/>
  </si>
  <si>
    <t>企业因亏损合同确认的预计负债，应当按照退出该合同的最高净成本进行计量。（）</t>
    <phoneticPr fontId="1" type="noConversion"/>
  </si>
  <si>
    <t>对存在标的资产的亏损合同，企业应首先对标的资产进行减值测试，并按规定确认减损失。（）（2019年）</t>
    <phoneticPr fontId="1" type="noConversion"/>
  </si>
  <si>
    <t>下列各项关于企业亏损合同会计处理的表述中，正确:的有（）。</t>
    <phoneticPr fontId="1" type="noConversion"/>
  </si>
  <si>
    <t>有标的资产的亏损合同，应对标的资产进行减值测试，并按减值金额确认预计负债</t>
  </si>
  <si>
    <t>因亏损合同确认的预计负债，应以履行该合同的成本与未能履行该合同而发生的补偿与处罚两者之中的较高者计量</t>
  </si>
  <si>
    <t>与亏损合同相关的义务可以无条件撤销的，不应确认预计负债</t>
  </si>
  <si>
    <t>无标的资产的亏损合同相关义务满足预计负债确认条件时，应当确认预计负债</t>
  </si>
  <si>
    <t>企业重组时发生的下列各顶支出中，属于与重组有关的直接支出的有（）。（2019年）</t>
  </si>
  <si>
    <t>撤销设备租赁合同的违约金</t>
    <phoneticPr fontId="1" type="noConversion"/>
  </si>
  <si>
    <t>留用职工的培训费</t>
    <phoneticPr fontId="1" type="noConversion"/>
  </si>
  <si>
    <t>设备的迁移费</t>
    <phoneticPr fontId="1" type="noConversion"/>
  </si>
  <si>
    <t>造散员工的安置费</t>
    <phoneticPr fontId="1" type="noConversion"/>
  </si>
  <si>
    <t>ABD</t>
    <phoneticPr fontId="1" type="noConversion"/>
  </si>
  <si>
    <t>或有事项：是指 `过去` 的交易或者事顼形成的，其结果须由某些 `未来` 事项的发生或不发生才能决定的 `不确定` 事项。常见包括（**多选题**）：
 - 未决诉讼或未决仲裁
 - 债务担保（如果债务人不偿还，需要我来承担）
 - 产品质量保证（含产品安全保证，产品不能保证100%合格）
 - 亏损合同
 - 重组义务
 - 承诺
 - 环境污染整治等</t>
    <phoneticPr fontId="1" type="noConversion"/>
  </si>
  <si>
    <t>√</t>
    <phoneticPr fontId="1" type="noConversion"/>
  </si>
  <si>
    <t>或有负债会计处理：或有负债无论是潜在义务还是现时义务，`均不符合` 负债的确认条件，因而不能在财务报表中予以确认，但应按相关规定在财务报表 `附注中披露有关信息`。（注意：极小可能，不披露，不是或有负债）包括：
 - 种类及形成原因
 - 不确定性的说明
 - 预计产生的财务影响
 - 获得补偿的可能性等</t>
    <phoneticPr fontId="1" type="noConversion"/>
  </si>
  <si>
    <t>C</t>
    <phoneticPr fontId="1" type="noConversion"/>
  </si>
  <si>
    <t>- 选项A：错误：预计负债是负债，需要列示。
- 选项B：错误：预计负债不靠谱，需要复核。
- 选项C：正确。
- 选项D：或有资产，或有负债都不能列示。</t>
    <phoneticPr fontId="1" type="noConversion"/>
  </si>
  <si>
    <t>√</t>
    <phoneticPr fontId="1" type="noConversion"/>
  </si>
  <si>
    <t>或有资产会计处理：
 - 或有资产也不符合资产确认条件，因而也不能在财务报表中确认。
 - 企业 `通常不应当披露` 或有资产，但或有资产 `很可能` 给企业带来经济利益的，`应当披露` 其形成的原因、预计产生的预期财务影响等。（本题）</t>
    <phoneticPr fontId="1" type="noConversion"/>
  </si>
  <si>
    <t>ACD</t>
    <phoneticPr fontId="1" type="noConversion"/>
  </si>
  <si>
    <t>- 选项A：正确。
- 选项B：错误：或有资产、或有负债都不再资产负债表内列示确认。
- 选项C：正确。
- 选项D：正确。</t>
    <phoneticPr fontId="1" type="noConversion"/>
  </si>
  <si>
    <t>连续范围，概率相等：算术平均数</t>
    <phoneticPr fontId="1" type="noConversion"/>
  </si>
  <si>
    <t>B</t>
    <phoneticPr fontId="1" type="noConversion"/>
  </si>
  <si>
    <t>- 非连续范围，单项目：以概率最大的金额为准。60万（诉讼费 - 管理费用）
- 45万是预计资产，题目要求的是预计负债，因此还是60万。</t>
    <phoneticPr fontId="1" type="noConversion"/>
  </si>
  <si>
    <t>D</t>
    <phoneticPr fontId="1" type="noConversion"/>
  </si>
  <si>
    <t>- 非连续范围，单项目：以概率最大的金额为准。
- 60万是预计资产，题目要求的是预计负债，因此还是310万。</t>
    <phoneticPr fontId="1" type="noConversion"/>
  </si>
  <si>
    <t>ABD</t>
    <phoneticPr fontId="1" type="noConversion"/>
  </si>
  <si>
    <t>- 选项A：正确。
- 选项B：正确：现实义务，且满足3条件才能确认为预计负债。
- 选项C：错误：或有资产不能确认为资产。
- 选项D：正确。</t>
    <phoneticPr fontId="1" type="noConversion"/>
  </si>
  <si>
    <t>- 非连续范围，单项目：以概率最大的金额为准。
- 但是 - 资产确认：基本确定95%~100%
- 因此没法确认为资产。</t>
    <phoneticPr fontId="1" type="noConversion"/>
  </si>
  <si>
    <t>B</t>
    <phoneticPr fontId="1" type="noConversion"/>
  </si>
  <si>
    <t>- 计提的预计负债：1000×(3%+5%)÷2 = 40万
- 期末余额：40-15 = 25万</t>
    <phoneticPr fontId="1" type="noConversion"/>
  </si>
  <si>
    <t>×</t>
    <phoneticPr fontId="1" type="noConversion"/>
  </si>
  <si>
    <t>预计负债的计量应当反映退出该合同的最低净成本。即：两者之中的 `较低者`（哪个亏得少就执行哪个）：
 - 履行该合同的成本
 - 未能履行该合同而发生的补偿或处罚</t>
    <phoneticPr fontId="1" type="noConversion"/>
  </si>
  <si>
    <t>√</t>
    <phoneticPr fontId="1" type="noConversion"/>
  </si>
  <si>
    <t>（2）亏损合同是否存在标的资产
 - 存在：应当对标的资产进行减值测试并按规定确认减值损失，在这种情况下，企业通常不需确认预计负债，如果预计亏损超过该减值损失，应将超过部分确认为预计负债。
 - 不存在：亏损合同相关义务满足预计负债确认条件时，应当确认预计负债。</t>
    <phoneticPr fontId="1" type="noConversion"/>
  </si>
  <si>
    <t>CD</t>
    <phoneticPr fontId="1" type="noConversion"/>
  </si>
  <si>
    <t>- 选项A：错误：存在标的资产的亏损合同，应当对标的资产进行减值测试并按规定确认减值损失，在这种情况下，企业通常不需确认预计负债，如果预计亏损超过该减值损失，应将【超过部分】确认为预计负债。
- 选项B：错误：预计负债的计量应当反映退出该合同的最低净成本。即：两者之中的 `较低者`（哪个亏得少就执行哪个）：
 - 履行该合同的成本
 - 未能履行该合同而发生的补偿或处罚
- 选项C：正确。
- 选项D：正确。</t>
    <phoneticPr fontId="1" type="noConversion"/>
  </si>
  <si>
    <t>AD</t>
    <phoneticPr fontId="1" type="noConversion"/>
  </si>
  <si>
    <t>企业应当按照与重组有关的 `直接支出` 确定预计负债金额，计入当期损益。直接支出：是企业重组必须承担的直接支出，并且与主体继续进行的活动无关的支出，包括：
 - 自愿/强制遣散
 - 将不再使用的厂房的租赁撤销费
 不包括：
 - 留用职工岗前培训
 - 市场推广
 - 新系统和营销网络投入等支出等。
 因为这些支出与未来经营活动有关，在资产负债表日不是重组义务。</t>
    <phoneticPr fontId="1" type="noConversion"/>
  </si>
  <si>
    <t>高顿</t>
    <phoneticPr fontId="1" type="noConversion"/>
  </si>
  <si>
    <t>1,2,3,4,5,6,7,8,9,10</t>
    <phoneticPr fontId="1" type="noConversion"/>
  </si>
  <si>
    <t>单选题,多选题,判断题</t>
    <phoneticPr fontId="1" type="noConversion"/>
  </si>
  <si>
    <t>下列各项中，属于或有事项的有（   ）</t>
    <phoneticPr fontId="1" type="noConversion"/>
  </si>
  <si>
    <t>为其他单位提供的债务担保</t>
    <phoneticPr fontId="1" type="noConversion"/>
  </si>
  <si>
    <t>企业与管理人员签订利润分享计划</t>
    <phoneticPr fontId="1" type="noConversion"/>
  </si>
  <si>
    <t>未决仲裁</t>
    <phoneticPr fontId="1" type="noConversion"/>
  </si>
  <si>
    <t>产品质保期内的质量保证</t>
    <phoneticPr fontId="1" type="noConversion"/>
  </si>
  <si>
    <t>ACD</t>
    <phoneticPr fontId="1" type="noConversion"/>
  </si>
  <si>
    <t>本题考核或有事项的范围。或有事项，是指过去的交易或者事项形成的，其结果须由某些未来事件的发生或不发生才能决定的不确定事项。主要包括：未决诉讼或仲裁、债务担保、产品质量保证（含产品安全保证）、承诺、亏损合同、重组义务、环境污染整治等。选项 B，不属于或有事项。</t>
    <phoneticPr fontId="1" type="noConversion"/>
  </si>
  <si>
    <t>对于很可能给企业经济利益的或有资产，企业应当披露其形成的原因、预计产生的财务影响等。</t>
    <phoneticPr fontId="1" type="noConversion"/>
  </si>
  <si>
    <t>本题考核或有资产的确认。企业通常不应当披露或有资产，但或有资产很可能给企业带来经济利益的，应当披露其形成的原因、预计产生的财务影响等。</t>
    <phoneticPr fontId="1" type="noConversion"/>
  </si>
  <si>
    <t>或有负债无论涉及潜在义务还是现时义务，均不应在财务报表中确认，但应按相关规定在附注中披露。（    ）</t>
    <phoneticPr fontId="1" type="noConversion"/>
  </si>
  <si>
    <t>本题考核或有负债的会计处理。或有负债无论是潜在义务还是现实义务，均不符合负债的确认条件，因而不能在财务报表中予以确认，但应当按照相关规定在财务报表附注中披露有关信息。</t>
    <phoneticPr fontId="1" type="noConversion"/>
  </si>
  <si>
    <t>下列关于或有事项的表述中，正确的是（　）。</t>
    <phoneticPr fontId="1" type="noConversion"/>
  </si>
  <si>
    <t>单选题</t>
    <phoneticPr fontId="1" type="noConversion"/>
  </si>
  <si>
    <t>或有事项形成的预计负债是企业承担的现时义务</t>
    <phoneticPr fontId="1" type="noConversion"/>
  </si>
  <si>
    <t>或有事项形成的或有资产应当在很可能收到时予以确认</t>
    <phoneticPr fontId="1" type="noConversion"/>
  </si>
  <si>
    <t>预计负债计量应考虑与其相关的或有资产预期处置产生的损益</t>
    <phoneticPr fontId="1" type="noConversion"/>
  </si>
  <si>
    <t>预计负债应当与其相关的或有资产相抵后在资产负债表中以净额列报</t>
    <phoneticPr fontId="1" type="noConversion"/>
  </si>
  <si>
    <t>A</t>
    <phoneticPr fontId="1" type="noConversion"/>
  </si>
  <si>
    <t>本题考核或有事项的会计处理。
选项B错误，基本确定收到时才能确认为资产；
选项C错误,预计负债计量不应考虑与其相关的或有资产预期处置产生的损益；
选项D错误，预计负债与或有资产不能相互抵销。</t>
    <phoneticPr fontId="1" type="noConversion"/>
  </si>
  <si>
    <t>下列各项中，属于或有事项的有（）</t>
    <phoneticPr fontId="1" type="noConversion"/>
  </si>
  <si>
    <t>多选题</t>
    <phoneticPr fontId="1" type="noConversion"/>
  </si>
  <si>
    <t>产品安全保证</t>
    <phoneticPr fontId="1" type="noConversion"/>
  </si>
  <si>
    <t>承诺</t>
    <phoneticPr fontId="1" type="noConversion"/>
  </si>
  <si>
    <t>环境污染整治</t>
    <phoneticPr fontId="1" type="noConversion"/>
  </si>
  <si>
    <t>经营亏损</t>
    <phoneticPr fontId="1" type="noConversion"/>
  </si>
  <si>
    <t>ABC</t>
    <phoneticPr fontId="1" type="noConversion"/>
  </si>
  <si>
    <t>本题考核或有事项的特征。或有事项是由过去的交易或事项形成的，未来可能发生的自然灾害、交通事故、经营亏损等事项，都不属于或有事项。</t>
    <phoneticPr fontId="1" type="noConversion"/>
  </si>
  <si>
    <t>或有资产不符合资产确认条件，因而不能在财务报表中确认，也不应当披露或有资产。（   ）</t>
    <phoneticPr fontId="1" type="noConversion"/>
  </si>
  <si>
    <t>×</t>
    <phoneticPr fontId="1" type="noConversion"/>
  </si>
  <si>
    <t>本题考核或有资产的披露。或有资产不符合资产确认条件，因而不能在财务报表中确认。企业通常不应当披露或有资产，但或有资产很可能给企业带来经济利益的，应当披露其形成的原因，预计产生的财务影响。</t>
    <phoneticPr fontId="1" type="noConversion"/>
  </si>
  <si>
    <t>下列各项关于或有事项会计处理的表述中,正确的是( )</t>
    <phoneticPr fontId="1" type="noConversion"/>
  </si>
  <si>
    <t>现时义务导致的预计负债,不能在资产负债表中列示为负债</t>
    <phoneticPr fontId="1" type="noConversion"/>
  </si>
  <si>
    <t>现时义务导致的预计负债,在资产负债表日无需复核</t>
    <phoneticPr fontId="1" type="noConversion"/>
  </si>
  <si>
    <t>潜在义务导致的或有负债,不能在资产负债表中列示为负债</t>
    <phoneticPr fontId="1" type="noConversion"/>
  </si>
  <si>
    <t>或有事项形成的或有资产,应在资产负债表中列示为资产</t>
    <phoneticPr fontId="1" type="noConversion"/>
  </si>
  <si>
    <t>C</t>
    <phoneticPr fontId="1" type="noConversion"/>
  </si>
  <si>
    <t>本题考核或有事项的会计处理。
现时义务导致的预计负债能在资产负债表中列示为负债，选项A错误;
企业应当在资产负债表日对预计负债的账面价值进行复核,有证据表明该账面价值不能反映最佳估计数的,应当按照当前的最佳估计数进行调整,选项B错误:
或有负债无论是潜在义务还是现时义务,均不符合负债的确认条件,不能在财务报表中予以确认,选项C正确;
或有资产只有在企业基本确定能够收到的情况下,才能予以确认,选项D错误。</t>
    <phoneticPr fontId="1" type="noConversion"/>
  </si>
  <si>
    <t>下列关于企业或有事项会计处理的表述中，正确的有(    )。</t>
    <phoneticPr fontId="1" type="noConversion"/>
  </si>
  <si>
    <t>因或有事项承担的义务，符合负债定义且满足负债确认条件的，应确认预计负债</t>
    <phoneticPr fontId="1" type="noConversion"/>
  </si>
  <si>
    <t>因或有事项承担的潜在义务，不应确认为预计负债</t>
    <phoneticPr fontId="1" type="noConversion"/>
  </si>
  <si>
    <t>因或有事项形成的潜在资产，应单独确认为一项资产</t>
    <phoneticPr fontId="1" type="noConversion"/>
  </si>
  <si>
    <t>因或有事项预期从第三方获得的补偿，补偿金额很可能收到的，应单独确认为一项资产</t>
    <phoneticPr fontId="1" type="noConversion"/>
  </si>
  <si>
    <t>AB</t>
    <phoneticPr fontId="1" type="noConversion"/>
  </si>
  <si>
    <t>本题考核或有事项的会计处理。
选项 C，因或有事项形成的潜在资产，不符合资产的确认条件，不应确认为一项资产；
选项 D，因或有事项预期从第三方获得的补偿，补偿金额【基本确定】收到的，应单独确认为一项资产。</t>
    <phoneticPr fontId="1" type="noConversion"/>
  </si>
  <si>
    <t>桂江公司为甲公司、乙公司、丙公司和丁公司提供了银行借款担保，下列各项中，桂江公司不应确认预计负债的有（  ）。</t>
    <phoneticPr fontId="1" type="noConversion"/>
  </si>
  <si>
    <t>甲公司运营良好，桂江公司极小可能承担连带还款责任</t>
    <phoneticPr fontId="1" type="noConversion"/>
  </si>
  <si>
    <t>乙公司发生暂时财务困难，桂江公司可能承担连带还款责任</t>
    <phoneticPr fontId="1" type="noConversion"/>
  </si>
  <si>
    <t>丙公司发生财务困难，桂江公司很可能承担连带还款责任</t>
    <phoneticPr fontId="1" type="noConversion"/>
  </si>
  <si>
    <t>丁公司发生严重财务困难，桂江公司基本确定承担还款责任</t>
    <phoneticPr fontId="1" type="noConversion"/>
  </si>
  <si>
    <t>AB</t>
    <phoneticPr fontId="1" type="noConversion"/>
  </si>
  <si>
    <t>本题考核预计负债的确认条件。
对或有事项确认预计负债应同时满足的三个条件是：
（1）该义务是企业承担的现时义务；
（2）履行该义务【很可能】导致经济利益流出企业；
（3）该义务的金额能够可靠的计量。选项A、B不满足第（2）个条件，不应确认为预计负债。</t>
    <phoneticPr fontId="1" type="noConversion"/>
  </si>
  <si>
    <t>企业在确定最佳估计数时应当综合考虑与或有事项有关的因素包括（   ）。</t>
    <phoneticPr fontId="1" type="noConversion"/>
  </si>
  <si>
    <t>与事项有关的风险</t>
    <phoneticPr fontId="1" type="noConversion"/>
  </si>
  <si>
    <t>与事项有关的不确定性</t>
    <phoneticPr fontId="1" type="noConversion"/>
  </si>
  <si>
    <t>货币时间价值</t>
    <phoneticPr fontId="1" type="noConversion"/>
  </si>
  <si>
    <t>潜在义务</t>
    <phoneticPr fontId="1" type="noConversion"/>
  </si>
  <si>
    <t>本题考核预计负债的计量需要考虑的其他因素。企业在确定最佳估计数时应当综合考虑与或有事项有关的风险、不确定性、货币时间价值和未来事项等因素。</t>
    <phoneticPr fontId="1" type="noConversion"/>
  </si>
  <si>
    <t>企业对已经确认的预计负债在实际支出发生时，应当仅限于最初为之确定该预计负债的支出。也就是说，只有与该预计负债有关的支出才能冲减预计负债。（  ）</t>
    <phoneticPr fontId="1" type="noConversion"/>
  </si>
  <si>
    <t>本题考核资产负债表日对预计负债账面价值的复核。教材原文。企业对已经确认的预计负债在实际支出发生时，应当仅限于最初为之确定该预计负债的支出。也就是说，只有与该预计负债有关的支出才能冲减预计负债。</t>
    <phoneticPr fontId="1" type="noConversion"/>
  </si>
  <si>
    <t>企业清偿因或有事项而确认的负债所需支出或部分预期由第三方或其他方补偿，应在基本确定能收到时，按照预计收到的补偿金额作为资产单独核算。（  ）</t>
    <phoneticPr fontId="1" type="noConversion"/>
  </si>
  <si>
    <t>本题考核预期可获得补偿的会计处理。企业清偿因或有事项而确认的负债所需支出或部分预期由第三方或其他方补偿，则此补偿金额只有在基本确定能收到时，才能作为资产单独确认，确认的补偿金额【不能超过所确认负债的账面价值】。</t>
    <phoneticPr fontId="1" type="noConversion"/>
  </si>
  <si>
    <t>2017 年 12 月 31 日，甲公司有一项未决诉讼，预计在 2017 年年度财务报告批准报出日后判决，胜诉的可能性为 60%，甲公司胜诉，将获得 40 万元至 60 万元的补偿，且这个区间内每个金额发生的可能性相同，不考虑其他因素，该未决诉讼对甲公司 2017 年 12 月 31 日资产负债表资产的影响为（   ）万元。</t>
    <phoneticPr fontId="1" type="noConversion"/>
  </si>
  <si>
    <t>B</t>
    <phoneticPr fontId="1" type="noConversion"/>
  </si>
  <si>
    <t>本题考核或有事项的确认。或有事项确认资产的前提条件是该事项已经确认负债，且在基本确定可以得到补偿时，将基本确定收到的金额确认为其他应收款。因预计有 60%的可能会获得补偿，未达到基本确定，所以不能确认资产。</t>
    <phoneticPr fontId="1" type="noConversion"/>
  </si>
  <si>
    <t>下列各项关于企业亏损合同会计处理的表述中，正确的有（   ）。</t>
    <phoneticPr fontId="1" type="noConversion"/>
  </si>
  <si>
    <t>有标的资产的亏损合同，应对标的资产进行减值测试，并按减值金额确认预计负债</t>
    <phoneticPr fontId="1" type="noConversion"/>
  </si>
  <si>
    <t>因亏损合同确认的预计负债，应以履行该合同的成本与未能履行该合同而发生的补偿与处罚两者之中的较高者计量</t>
    <phoneticPr fontId="1" type="noConversion"/>
  </si>
  <si>
    <t>与亏损合同相关的义务可以无条件撤销的，不应确认预计负债</t>
    <phoneticPr fontId="1" type="noConversion"/>
  </si>
  <si>
    <t>无标的资产的亏损合同相关义务满足预计负债确认条件时，应当确认预计负债</t>
    <phoneticPr fontId="1" type="noConversion"/>
  </si>
  <si>
    <t>CD</t>
    <phoneticPr fontId="1" type="noConversion"/>
  </si>
  <si>
    <t>本题考核亏损合同的会计处理。
选项 A，待执行合同变为亏损合同，存在标的资产的，首先对标的资产进行减值测试，相应的计入资产减值损失中，实际损失的金额超过减值测试的部分的差额相应的确认为预计负债；
选项 B，无标的资产的，确认预计负债的金额以履行该合同的成本与未能履行该合同而发生的补偿与处罚两者之中的较低者。</t>
    <phoneticPr fontId="1" type="noConversion"/>
  </si>
  <si>
    <t>2014年12月1日，甲公司和乙公司签订了不可撤销的销售合同，甲公司应于2015年4月底前向乙公司交付一批不含税价格为500万元的产品。若甲公司违约需向乙公司交付违约金80万元。合同签订后甲公司立即组织生产，至2014年12月31日发生成本40万元，因材料价格持续上涨，预计产品总成本为550万元。假设不考虑其他因素，甲公司 2014年12月31日因该份合同需确认的预计负债为（  ）万元。</t>
    <phoneticPr fontId="1" type="noConversion"/>
  </si>
  <si>
    <t>C</t>
    <phoneticPr fontId="1" type="noConversion"/>
  </si>
  <si>
    <t>本题考核亏损合同中预计负债的计量。
应对标的资产确认减值损失，超出减值损失部分的金额确认为预计负债，已经发生成本40万元，确认减值损失，甲公司不执行合同损失金额为80万元，执行合同损失金额=550 -500 =50 （万元），应选择执行合同；应确认预计负债的金额=50 -40 =10（万元）。
相关会计分录;：
借：资产减值损失 40
贷：存货跌价准备 40
借：营业外支出-亏损合同损失 10
贷：预计负债-亏损合同损失     10</t>
    <phoneticPr fontId="1" type="noConversion"/>
  </si>
  <si>
    <t>企业因对外担保事项涉及诉讼的情况下，下列表述中正确的是（ ）。</t>
    <phoneticPr fontId="1" type="noConversion"/>
  </si>
  <si>
    <t>企业已被判决败诉，但正在上诉的不应确认预计负债</t>
    <phoneticPr fontId="1" type="noConversion"/>
  </si>
  <si>
    <t>法院尚未判决，但企业估计败诉的可能性大于胜诉的可能性，应将对外担保额确认为预计负债</t>
    <phoneticPr fontId="1" type="noConversion"/>
  </si>
  <si>
    <t>法院尚未判决，而且企业估计败诉的可能性大于胜诉的可能性，但如果损失金额不能合理估计的，则不应确认预计负债</t>
    <phoneticPr fontId="1" type="noConversion"/>
  </si>
  <si>
    <t>因为法院尚未判决，企业没有必要确认预计负债</t>
    <phoneticPr fontId="1" type="noConversion"/>
  </si>
  <si>
    <t>本题考核债务担保产生的预计负债的计量。
企业已被判决败诉，但正在上诉的，符合或有事项确认预计负债条件的应确认预计负债，选项A错误；
法院尚未判决，企业估计败诉的可能性大于胜诉的可能性，且损失金额能够可靠计量的，应当确认预计负债，若损失金额不能可靠计量的，则不确认预计负债，选项B错误，选项C正确；
法院尚未判决的对外担保事项，企业应向其律师或法律顾问等咨询，估计败诉的可能性，并且损失金额能够合理估计的，应在资产负债表日将预计担保损失金额确认为预计负债，并计入当期营业外支出，选项D错误。</t>
    <phoneticPr fontId="1" type="noConversion"/>
  </si>
  <si>
    <t>2014年1月1日，甲公司为乙公司的800万元债务提供50%担保，2014年6月1日，乙公司因无力偿还到期债务被债权人起诉。至2014年12月31日，法院尚未判决，但经咨询律师，甲公司认为有55%的可能性需要承担全部保证责任，赔偿400万元，并预计承担诉讼费用4万元；有45%的可能无需承担保证责任。2015年2月10日，法院作出判决，甲公司需承担全部保证责任和诉讼费用。甲公司表示服从法院判决，于当日履行了担保责任，并支付了4万元的诉讼费。2015年2月20日，2014年度财务报告经董事会批准报出，不考虑其他因素，下列关于甲公司对该事项的处理正确的有(  )。</t>
    <phoneticPr fontId="1" type="noConversion"/>
  </si>
  <si>
    <t>在2015年实际支付担保款项时确认预计负债</t>
    <phoneticPr fontId="1" type="noConversion"/>
  </si>
  <si>
    <t>在2014年的利润表中将预计的讼诉费用4万元确认为管理费用</t>
    <phoneticPr fontId="1" type="noConversion"/>
  </si>
  <si>
    <t>在2014年的利润表确认营业外支出400万元</t>
    <phoneticPr fontId="1" type="noConversion"/>
  </si>
  <si>
    <t>在2014年的财务报表附注中披露或有负债400万元</t>
    <phoneticPr fontId="1" type="noConversion"/>
  </si>
  <si>
    <t>BC</t>
    <phoneticPr fontId="1" type="noConversion"/>
  </si>
  <si>
    <t>本题考核或有事项的会计处理。因该担保事项产生的或有负债在2014年年末已满足预计负债确认条件，甲公司应于2014年年末进行会计处理，确认预计负债404万元，并对相应的预计负债进行披露，选项A、D错误。</t>
    <phoneticPr fontId="1" type="noConversion"/>
  </si>
  <si>
    <t>关于亏损合同的会计处理，下列各项中，说法不正确的有（  ）。</t>
    <phoneticPr fontId="1" type="noConversion"/>
  </si>
  <si>
    <t>如果与亏损合同相关的义务不需支付任何补偿即可撤销，企业通常就不存在现时义务，不应确认预计负债</t>
    <phoneticPr fontId="1" type="noConversion"/>
  </si>
  <si>
    <t>如果与亏损合同相关的义务不可撤销，企业就存在了现时义务，同时满足该义务很可能导致经济利益流出企业且金额能够可靠地计量的，应当确认预计负债</t>
    <phoneticPr fontId="1" type="noConversion"/>
  </si>
  <si>
    <t>亏损合同存在标的资产的，应当对标的资产进行减值测试并按规定确认减值损失，若预计损失超过该减值损失，则应将原确认的减值损失及超过减值损失的部分合计全部确认为预计负债</t>
    <phoneticPr fontId="1" type="noConversion"/>
  </si>
  <si>
    <t>合同不存在标的资产的，亏损合同相关义务满足预计负债确认条件时，应当确认预计负债</t>
    <phoneticPr fontId="1" type="noConversion"/>
  </si>
  <si>
    <t>本题考核亏损合同的会计处理。亏损合同存在标的资产的，应当对标的资产进行减值测试并按规定确认减值损失，在这种情况下，企业通常不需确认预计负债，若预计损失超过该减值损失，则应将超过部分确认为预计负债。选项 C 错误。</t>
    <phoneticPr fontId="1" type="noConversion"/>
  </si>
  <si>
    <t>下列各项中，对产品质量保证确认预计负债的说法正确的有（）</t>
    <phoneticPr fontId="1" type="noConversion"/>
  </si>
  <si>
    <t>企业因产品质量保证发生符合确认条件的相关支出，应按权责发生制的要求，在收入实现时确认相关负债</t>
    <phoneticPr fontId="1" type="noConversion"/>
  </si>
  <si>
    <t>因最佳估计数本身是估计的金额，所以如果发现产品质量保证费用的实际发生额与预计数相差较大，无须对预计比例进行调整</t>
    <phoneticPr fontId="1" type="noConversion"/>
  </si>
  <si>
    <t>企业对特定批次产品确认预计负债，在保修期结束时，应将“预计负债——产品质量保证”余额冲销，同时冲销“销售费用”</t>
    <phoneticPr fontId="1" type="noConversion"/>
  </si>
  <si>
    <t>对已确认预计负债的产品，若企业不再生产，应在相应的产品质量保证期满后，将“预计负债——产品质量保证”余额冲销，同时冲销“销售费用”</t>
    <phoneticPr fontId="1" type="noConversion"/>
  </si>
  <si>
    <t>ACD</t>
    <phoneticPr fontId="1" type="noConversion"/>
  </si>
  <si>
    <t>本题考核产品质量保证预计负债的会计处理。如果发现产品质量保证费用的实际发生额与预计数相差较大，应及时对预计比例进行调整，所以选项 B 错误。</t>
    <phoneticPr fontId="1" type="noConversion"/>
  </si>
  <si>
    <t>下列对于债务担保涉及未决诉讼，说法正确的是（  ）。</t>
    <phoneticPr fontId="1" type="noConversion"/>
  </si>
  <si>
    <t>若企业已被判决败诉，则应当按照人民法院判决的应承担的损失金额，确认为负债，并计入当期营业外支出</t>
    <phoneticPr fontId="1" type="noConversion"/>
  </si>
  <si>
    <t>若企业已被判决败诉，但企业正在上诉，或者经上一级人民法院裁定暂缓执行，企业应当在资产负债表日，根据已有判决结果合理估计可能产生的损失金额，确认为预计负债，并计入当期营业外支出</t>
    <phoneticPr fontId="1" type="noConversion"/>
  </si>
  <si>
    <t>若人民法院尚未判决的，企业应当向其律师或法律顾问等咨询，估计败诉的可能性，如果败诉的可能性大于胜诉的可能性，并且损失金额能够合理估计的，应当在资产负债表日将预计担保损失金额确认为预计负债，并计入当期营业外支出</t>
    <phoneticPr fontId="1" type="noConversion"/>
  </si>
  <si>
    <t>若企业已被判决败诉，但由上一级人民法院发回重审，则企业在资产负债表日，不需确认预计负债</t>
    <phoneticPr fontId="1" type="noConversion"/>
  </si>
  <si>
    <t>本题考核债务担保的会计处理。若企业已被判决败诉，但企业正在上诉，或者经上一级人民法院裁定暂缓执行，或者由上一级人民法院发回重审等，企业应当在资产负债表日，根据已有判决结果合理估计可能产生的损失金额，确认为预计负债，并计入当期营业外支出。选项 D 错误。</t>
    <phoneticPr fontId="1" type="noConversion"/>
  </si>
  <si>
    <t>下列情况中，表明企业承担了重组义务的有（  ）。</t>
    <phoneticPr fontId="1" type="noConversion"/>
  </si>
  <si>
    <t>有详细、正式的重组计划</t>
    <phoneticPr fontId="1" type="noConversion"/>
  </si>
  <si>
    <t>管理层或董事会在资产负债表日作出重组决定</t>
    <phoneticPr fontId="1" type="noConversion"/>
  </si>
  <si>
    <t>该重组计划已对外公告，重组计划已开始实施</t>
    <phoneticPr fontId="1" type="noConversion"/>
  </si>
  <si>
    <t>已向受其影响的各方通告了该计划的主要内容，从而使各方形成了对该企业将实施重组的合理预期</t>
    <phoneticPr fontId="1" type="noConversion"/>
  </si>
  <si>
    <t>ACD</t>
    <phoneticPr fontId="1" type="noConversion"/>
  </si>
  <si>
    <t>本题考核重组义务的确认。
企业因重组而承担了重组义务，并且同时满足以下预计负债确认条件时，才能确认预计负债：
- 有详细、正式的重组计划，包括重组涉及的业务、主要地点、需要补偿的职工人数及岗位性质、预计重组支出、计划实施时间等。
- 该重组计划已对外公告，重组计划已经开始实施，或已向其受影响的各方通告了该计划的主要内容，从而使各方形成了对该企业将实施重组的</t>
    <phoneticPr fontId="1" type="noConversion"/>
  </si>
  <si>
    <t>企业重组时发生的下列各项支出中,属于与重组有关的直接支出的有() 。</t>
    <phoneticPr fontId="1" type="noConversion"/>
  </si>
  <si>
    <t>撤销设备租赁合同的违约金</t>
    <phoneticPr fontId="1" type="noConversion"/>
  </si>
  <si>
    <t>留用职工的培训费</t>
    <phoneticPr fontId="1" type="noConversion"/>
  </si>
  <si>
    <t>设备的迁移费</t>
    <phoneticPr fontId="1" type="noConversion"/>
  </si>
  <si>
    <t>遣散员工的安置费</t>
    <phoneticPr fontId="1" type="noConversion"/>
  </si>
  <si>
    <t>AD</t>
    <phoneticPr fontId="1" type="noConversion"/>
  </si>
  <si>
    <t>本题考核或有事项中重组义务的计量。与重组有关的直接支出是企业重组必须承担的，并且与主体继续进行的活动无关的支出，包括支付的辞退员工补偿款及违约金以及将不再使用的厂房的租赁撤销费，【不包括】留用职工岗前培训、市场推广、新系统和营销网络投入、【将设备从拟关闭的工厂转移到继续使用的工厂的迁移费】等支出。</t>
    <phoneticPr fontId="1" type="noConversion"/>
  </si>
  <si>
    <t>2×19年12月31日,因乙公司的银行借款到期不能偿还，银行起诉其担保人甲公司，甲公司的律师认为败诉的可能性为90%，一旦败诉，甲公司需向银行偿还借款本息共计1200万元。不考虑其他因素，下列对该事项的会计处理中,正确的有(  )。</t>
    <phoneticPr fontId="1" type="noConversion"/>
  </si>
  <si>
    <t>确认营业外支出1200万元</t>
    <phoneticPr fontId="1" type="noConversion"/>
  </si>
  <si>
    <t>在附注中披露该或有事项的有关信息</t>
    <phoneticPr fontId="1" type="noConversion"/>
  </si>
  <si>
    <t>确认预计负债1200万元</t>
    <phoneticPr fontId="1" type="noConversion"/>
  </si>
  <si>
    <t>确认其他应付款1080万元</t>
    <phoneticPr fontId="1" type="noConversion"/>
  </si>
  <si>
    <t>本题考核债务担保。企业对外提供债务担保涉及未决诉讼，如果人民法院尚未判决的，企业应向其律师或法律顾问等咨询，估计败诉的可能性，以及败诉后可能发生的损失金额，并取得有关书面意见，如果败诉的可能性大于胜诉的可能性，并且损失金额能够合理估计的，应当在资产负债表日将预计担保损失金额确认为预计负债，并计入当期营业外支出，因此，乙公司在2×19年12月31日资产负债表中应确认的预计负债金额应为最可能发生的金额，即1200万元，账务处理如下：
借：营业外支出 1200
贷：预计负债 1200</t>
    <phoneticPr fontId="1" type="noConversion"/>
  </si>
  <si>
    <t>我的答案</t>
  </si>
  <si>
    <t>B</t>
  </si>
  <si>
    <t>×</t>
    <phoneticPr fontId="1" type="noConversion"/>
  </si>
  <si>
    <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</si>
</sst>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等线"/>
      <family val="2"/>
      <scheme val="minor"/>
    </font>
    <font>
      <sz val="9"/>
      <name val="等线"/>
      <family val="3"/>
      <charset val="134"/>
      <scheme val="minor"/>
    </font>
    <font>
      <b/>
      <sz val="10"/>
      <color theme="0"/>
      <name val="等线"/>
      <family val="3"/>
      <charset val="134"/>
      <scheme val="minor"/>
    </font>
    <font>
      <sz val="10"/>
      <color theme="1"/>
      <name val="等线"/>
      <family val="3"/>
      <charset val="134"/>
      <scheme val="minor"/>
    </font>
    <font>
      <sz val="11"/>
      <color rgb="FF000000"/>
      <name val="仿宋"/>
      <family val="3"/>
      <charset val="134"/>
    </font>
    <font>
      <sz val="10"/>
      <color rgb="FF000000"/>
      <name val="等线"/>
      <family val="3"/>
      <charset val="134"/>
    </font>
    <font>
      <sz val="10"/>
      <color theme="1"/>
      <name val="等线"/>
      <family val="2"/>
      <scheme val="minor"/>
    </font>
  </fonts>
  <fills count="5">
    <fill>
      <patternFill patternType="none"/>
    </fill>
    <fill>
      <patternFill patternType="gray125"/>
    </fill>
    <fill>
      <patternFill patternType="solid">
        <fgColor theme="1" tint="0.34998626667073579"/>
        <bgColor indexed="64"/>
      </patternFill>
    </fill>
    <fill>
      <patternFill patternType="solid">
        <fgColor rgb="FFBEE3C8"/>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2" fillId="2" borderId="1" xfId="0" applyFont="1" applyFill="1" applyBorder="1" applyAlignment="1">
      <alignment horizontal="center" vertical="center"/>
    </xf>
    <xf numFmtId="0" fontId="0" fillId="0" borderId="0" xfId="0" applyAlignment="1">
      <alignment horizontal="left"/>
    </xf>
    <xf numFmtId="0" fontId="0" fillId="0" borderId="0" xfId="0" applyAlignment="1">
      <alignment horizontal="center"/>
    </xf>
    <xf numFmtId="0" fontId="0" fillId="0" borderId="0" xfId="0" applyAlignment="1"/>
    <xf numFmtId="0" fontId="0" fillId="0" borderId="0" xfId="0" applyFill="1" applyBorder="1" applyAlignment="1"/>
    <xf numFmtId="0" fontId="0" fillId="0" borderId="0" xfId="0" applyFill="1" applyBorder="1" applyAlignment="1">
      <alignment horizontal="left"/>
    </xf>
    <xf numFmtId="3" fontId="0" fillId="0" borderId="0" xfId="0" applyNumberFormat="1" applyAlignment="1">
      <alignment horizontal="left"/>
    </xf>
    <xf numFmtId="0" fontId="0" fillId="0" borderId="1" xfId="0" applyBorder="1" applyAlignment="1">
      <alignment horizontal="center"/>
    </xf>
    <xf numFmtId="0" fontId="3" fillId="3" borderId="1" xfId="0" applyFont="1" applyFill="1" applyBorder="1" applyAlignment="1">
      <alignment horizontal="center" vertical="center"/>
    </xf>
    <xf numFmtId="0" fontId="0" fillId="0" borderId="0" xfId="0" quotePrefix="1" applyAlignment="1"/>
    <xf numFmtId="0" fontId="0" fillId="0" borderId="0" xfId="0" applyAlignment="1">
      <alignment vertical="center"/>
    </xf>
    <xf numFmtId="49" fontId="3" fillId="4" borderId="1" xfId="0" applyNumberFormat="1" applyFont="1" applyFill="1" applyBorder="1" applyAlignment="1">
      <alignment vertical="center"/>
    </xf>
    <xf numFmtId="0" fontId="3" fillId="4" borderId="1" xfId="0" applyFont="1" applyFill="1" applyBorder="1" applyAlignment="1">
      <alignment vertical="center"/>
    </xf>
    <xf numFmtId="0" fontId="6" fillId="0" borderId="1" xfId="0" applyFont="1" applyBorder="1" applyAlignment="1">
      <alignment horizontal="center" vertical="center"/>
    </xf>
    <xf numFmtId="0" fontId="3" fillId="0" borderId="1" xfId="0" applyFont="1" applyBorder="1" applyAlignment="1">
      <alignment horizontal="center" vertical="center"/>
    </xf>
    <xf numFmtId="49" fontId="3" fillId="4" borderId="1" xfId="0" applyNumberFormat="1" applyFont="1" applyFill="1" applyBorder="1" applyAlignment="1">
      <alignment horizontal="center" vertical="center"/>
    </xf>
    <xf numFmtId="0" fontId="3" fillId="4" borderId="1" xfId="0" applyNumberFormat="1" applyFont="1" applyFill="1" applyBorder="1" applyAlignment="1">
      <alignment horizontal="center" vertical="center"/>
    </xf>
    <xf numFmtId="31" fontId="0" fillId="0" borderId="0" xfId="0" quotePrefix="1" applyNumberFormat="1" applyAlignment="1">
      <alignment horizontal="left"/>
    </xf>
    <xf numFmtId="0" fontId="0" fillId="0" borderId="0" xfId="0" quotePrefix="1" applyAlignment="1">
      <alignment horizontal="left"/>
    </xf>
  </cellXfs>
  <cellStyles count="1">
    <cellStyle name="常规" xfId="0" builtinId="0"/>
  </cellStyles>
  <dxfs count="0"/>
  <tableStyles count="0" defaultTableStyle="TableStyleMedium2" defaultPivotStyle="PivotStyleLight16"/>
  <colors>
    <mruColors>
      <color rgb="FF53B56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142875</xdr:rowOff>
        </xdr:from>
        <xdr:to>
          <xdr:col>3</xdr:col>
          <xdr:colOff>0</xdr:colOff>
          <xdr:row>6</xdr:row>
          <xdr:rowOff>142875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等线"/>
                  <a:ea typeface="等线"/>
                </a:rPr>
                <a:t>题目设置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3</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仿宋"/>
                  <a:ea typeface="仿宋"/>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仿宋"/>
                  <a:ea typeface="仿宋"/>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3</xdr:col>
          <xdr:colOff>0</xdr:colOff>
          <xdr:row>9</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等线"/>
                  <a:ea typeface="等线"/>
                </a:rPr>
                <a:t>开始练习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180975</xdr:rowOff>
        </xdr:from>
        <xdr:to>
          <xdr:col>10</xdr:col>
          <xdr:colOff>0</xdr:colOff>
          <xdr:row>11</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等线"/>
                  <a:ea typeface="等线"/>
                </a:rPr>
                <a:t>开始考试</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L7"/>
  <sheetViews>
    <sheetView showGridLines="0" tabSelected="1" workbookViewId="0">
      <selection activeCell="N17" sqref="N17"/>
    </sheetView>
  </sheetViews>
  <sheetFormatPr defaultColWidth="9" defaultRowHeight="14.25" x14ac:dyDescent="0.2"/>
  <cols>
    <col min="1" max="1" width="3.375" style="11" customWidth="1"/>
    <col min="2" max="2" width="10" style="11" customWidth="1"/>
    <col min="3" max="3" width="11.375" style="11" customWidth="1"/>
    <col min="4" max="4" width="3.625" style="11" customWidth="1"/>
    <col min="5" max="5" width="5.5" style="11" customWidth="1"/>
    <col min="6" max="6" width="4" style="11" customWidth="1"/>
    <col min="7" max="9" width="11.375" style="11" customWidth="1"/>
    <col min="10" max="10" width="11.875" style="11" customWidth="1"/>
    <col min="11" max="25" width="9" style="11" customWidth="1"/>
    <col min="26" max="16384" width="9" style="11"/>
  </cols>
  <sheetData>
    <row r="2" spans="2:12" x14ac:dyDescent="0.2">
      <c r="B2" s="1" t="s">
        <v>17</v>
      </c>
      <c r="C2" s="9" t="s">
        <v>77</v>
      </c>
      <c r="D2" s="11" t="s">
        <v>44</v>
      </c>
      <c r="G2" s="1" t="s">
        <v>352</v>
      </c>
      <c r="H2" s="1" t="s">
        <v>353</v>
      </c>
      <c r="I2" s="1" t="s">
        <v>354</v>
      </c>
      <c r="J2" s="1" t="s">
        <v>355</v>
      </c>
      <c r="L2" s="11" t="s">
        <v>358</v>
      </c>
    </row>
    <row r="3" spans="2:12" x14ac:dyDescent="0.2">
      <c r="B3" s="1" t="s">
        <v>42</v>
      </c>
      <c r="C3" s="12" t="s">
        <v>1775</v>
      </c>
      <c r="D3" s="11" t="s">
        <v>44</v>
      </c>
      <c r="G3" s="14" t="s">
        <v>103</v>
      </c>
      <c r="H3" s="14">
        <v>10</v>
      </c>
      <c r="I3" s="14">
        <v>1</v>
      </c>
      <c r="J3" s="16">
        <v>1</v>
      </c>
    </row>
    <row r="4" spans="2:12" x14ac:dyDescent="0.2">
      <c r="B4" s="1" t="s">
        <v>43</v>
      </c>
      <c r="C4" s="13" t="s">
        <v>1776</v>
      </c>
      <c r="D4" s="11" t="s">
        <v>45</v>
      </c>
      <c r="G4" s="15" t="s">
        <v>62</v>
      </c>
      <c r="H4" s="14">
        <v>10</v>
      </c>
      <c r="I4" s="14">
        <v>2</v>
      </c>
      <c r="J4" s="16">
        <v>9</v>
      </c>
    </row>
    <row r="5" spans="2:12" x14ac:dyDescent="0.2">
      <c r="G5" s="15" t="s">
        <v>90</v>
      </c>
      <c r="H5" s="14">
        <v>10</v>
      </c>
      <c r="I5" s="14">
        <v>1</v>
      </c>
      <c r="J5" s="16">
        <v>1</v>
      </c>
    </row>
    <row r="6" spans="2:12" x14ac:dyDescent="0.2">
      <c r="G6" s="15"/>
      <c r="H6" s="14"/>
      <c r="I6" s="14"/>
      <c r="J6" s="16"/>
    </row>
    <row r="7" spans="2:12" x14ac:dyDescent="0.2">
      <c r="G7" s="15"/>
      <c r="H7" s="14"/>
      <c r="I7" s="14"/>
      <c r="J7" s="16"/>
    </row>
  </sheetData>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QuestionOption">
                <anchor moveWithCells="1" sizeWithCells="1">
                  <from>
                    <xdr:col>1</xdr:col>
                    <xdr:colOff>0</xdr:colOff>
                    <xdr:row>4</xdr:row>
                    <xdr:rowOff>142875</xdr:rowOff>
                  </from>
                  <to>
                    <xdr:col>3</xdr:col>
                    <xdr:colOff>0</xdr:colOff>
                    <xdr:row>6</xdr:row>
                    <xdr:rowOff>142875</xdr:rowOff>
                  </to>
                </anchor>
              </controlPr>
            </control>
          </mc:Choice>
        </mc:AlternateContent>
        <mc:AlternateContent xmlns:mc="http://schemas.openxmlformats.org/markup-compatibility/2006">
          <mc:Choice Requires="x14">
            <control shapeId="2056" r:id="rId5" name="Button 8">
              <controlPr defaultSize="0" print="0" autoFill="0" autoPict="0" macro="[0]!HideSetting">
                <anchor moveWithCells="1" sizeWithCells="1">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2057" r:id="rId6" name="Button 9">
              <controlPr defaultSize="0" print="0" autoFill="0" autoPict="0" macro="[0]!ShowSetting">
                <anchor moveWithCells="1" sizeWithCells="1">
                  <from>
                    <xdr:col>4</xdr:col>
                    <xdr:colOff>0</xdr:colOff>
                    <xdr:row>3</xdr:row>
                    <xdr:rowOff>0</xdr:rowOff>
                  </from>
                  <to>
                    <xdr:col>5</xdr:col>
                    <xdr:colOff>0</xdr:colOff>
                    <xdr:row>5</xdr:row>
                    <xdr:rowOff>0</xdr:rowOff>
                  </to>
                </anchor>
              </controlPr>
            </control>
          </mc:Choice>
        </mc:AlternateContent>
        <mc:AlternateContent xmlns:mc="http://schemas.openxmlformats.org/markup-compatibility/2006">
          <mc:Choice Requires="x14">
            <control shapeId="2062" r:id="rId7" name="Button 14">
              <controlPr defaultSize="0" print="0" autoFill="0" autoPict="0" macro="[0]!StartExercise">
                <anchor moveWithCells="1" sizeWithCells="1">
                  <from>
                    <xdr:col>1</xdr:col>
                    <xdr:colOff>0</xdr:colOff>
                    <xdr:row>7</xdr:row>
                    <xdr:rowOff>0</xdr:rowOff>
                  </from>
                  <to>
                    <xdr:col>3</xdr:col>
                    <xdr:colOff>0</xdr:colOff>
                    <xdr:row>9</xdr:row>
                    <xdr:rowOff>0</xdr:rowOff>
                  </to>
                </anchor>
              </controlPr>
            </control>
          </mc:Choice>
        </mc:AlternateContent>
        <mc:AlternateContent xmlns:mc="http://schemas.openxmlformats.org/markup-compatibility/2006">
          <mc:Choice Requires="x14">
            <control shapeId="2076" r:id="rId8" name="Button 28">
              <controlPr defaultSize="0" print="0" autoFill="0" autoPict="0" macro="[0]!Exam">
                <anchor moveWithCells="1" sizeWithCells="1">
                  <from>
                    <xdr:col>6</xdr:col>
                    <xdr:colOff>0</xdr:colOff>
                    <xdr:row>7</xdr:row>
                    <xdr:rowOff>180975</xdr:rowOff>
                  </from>
                  <to>
                    <xdr:col>10</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数据库!$A$2:$A$4</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401"/>
  <sheetViews>
    <sheetView workbookViewId="0">
      <pane ySplit="1" topLeftCell="A385" activePane="bottomLeft" state="frozen"/>
      <selection pane="bottomLeft" activeCell="N1" sqref="N1"/>
    </sheetView>
  </sheetViews>
  <sheetFormatPr defaultRowHeight="14.25" x14ac:dyDescent="0.2"/>
  <cols>
    <col min="1" max="1" width="6.25" style="3" customWidth="1"/>
    <col min="2" max="2" width="15.5" style="3" customWidth="1"/>
    <col min="3" max="3" width="8" style="3" bestFit="1" customWidth="1"/>
    <col min="4" max="4" width="9.875" style="3" customWidth="1"/>
    <col min="5" max="5" width="37.375" style="4" customWidth="1"/>
    <col min="6" max="7" width="10.375" style="2" customWidth="1"/>
    <col min="8" max="9" width="9" style="2"/>
    <col min="12" max="12" width="9" style="3"/>
  </cols>
  <sheetData>
    <row r="1" spans="1:12" x14ac:dyDescent="0.2">
      <c r="A1" s="1" t="s">
        <v>53</v>
      </c>
      <c r="B1" s="1" t="s">
        <v>54</v>
      </c>
      <c r="C1" s="1" t="s">
        <v>55</v>
      </c>
      <c r="D1" s="1" t="s">
        <v>56</v>
      </c>
      <c r="E1" s="1" t="s">
        <v>57</v>
      </c>
      <c r="F1" s="1" t="s">
        <v>58</v>
      </c>
      <c r="G1" s="1" t="s">
        <v>11</v>
      </c>
      <c r="H1" s="1" t="s">
        <v>59</v>
      </c>
      <c r="I1" s="1" t="s">
        <v>60</v>
      </c>
      <c r="J1" s="1" t="s">
        <v>0</v>
      </c>
      <c r="K1" s="1" t="s">
        <v>61</v>
      </c>
      <c r="L1" s="1" t="s">
        <v>426</v>
      </c>
    </row>
    <row r="2" spans="1:12" x14ac:dyDescent="0.2">
      <c r="A2" s="3">
        <v>1</v>
      </c>
      <c r="B2" s="3" t="s">
        <v>18</v>
      </c>
      <c r="C2" s="3">
        <v>1</v>
      </c>
      <c r="D2" s="3" t="s">
        <v>62</v>
      </c>
      <c r="E2" s="4" t="s">
        <v>63</v>
      </c>
      <c r="F2" s="2" t="s">
        <v>64</v>
      </c>
      <c r="G2" s="2" t="s">
        <v>65</v>
      </c>
      <c r="H2" s="2" t="s">
        <v>1</v>
      </c>
      <c r="I2" s="2" t="s">
        <v>66</v>
      </c>
      <c r="J2" s="2" t="s">
        <v>67</v>
      </c>
      <c r="K2" s="4" t="s">
        <v>68</v>
      </c>
      <c r="L2" s="3" t="s">
        <v>427</v>
      </c>
    </row>
    <row r="3" spans="1:12" x14ac:dyDescent="0.2">
      <c r="A3" s="3">
        <v>2</v>
      </c>
      <c r="B3" s="3" t="s">
        <v>69</v>
      </c>
      <c r="C3" s="3">
        <v>1</v>
      </c>
      <c r="D3" s="3" t="s">
        <v>62</v>
      </c>
      <c r="E3" s="4" t="s">
        <v>70</v>
      </c>
      <c r="F3" s="2" t="s">
        <v>71</v>
      </c>
      <c r="G3" s="2" t="s">
        <v>72</v>
      </c>
      <c r="H3" s="2" t="s">
        <v>73</v>
      </c>
      <c r="I3" s="2" t="s">
        <v>74</v>
      </c>
      <c r="J3" s="2" t="s">
        <v>75</v>
      </c>
      <c r="K3" s="6" t="s">
        <v>76</v>
      </c>
      <c r="L3" s="3" t="s">
        <v>427</v>
      </c>
    </row>
    <row r="4" spans="1:12" x14ac:dyDescent="0.2">
      <c r="A4" s="3">
        <v>3</v>
      </c>
      <c r="B4" s="3" t="s">
        <v>77</v>
      </c>
      <c r="C4" s="3">
        <v>1</v>
      </c>
      <c r="D4" s="3" t="s">
        <v>78</v>
      </c>
      <c r="E4" s="4" t="s">
        <v>79</v>
      </c>
      <c r="F4" s="2" t="s">
        <v>80</v>
      </c>
      <c r="G4" s="2" t="s">
        <v>2</v>
      </c>
      <c r="H4" s="2" t="s">
        <v>81</v>
      </c>
      <c r="I4" s="2" t="s">
        <v>82</v>
      </c>
      <c r="J4" s="2" t="s">
        <v>83</v>
      </c>
      <c r="K4" s="6" t="s">
        <v>84</v>
      </c>
      <c r="L4" s="3" t="s">
        <v>427</v>
      </c>
    </row>
    <row r="5" spans="1:12" x14ac:dyDescent="0.2">
      <c r="A5" s="3">
        <v>4</v>
      </c>
      <c r="B5" s="3" t="s">
        <v>18</v>
      </c>
      <c r="C5" s="3">
        <v>1</v>
      </c>
      <c r="D5" s="3" t="s">
        <v>62</v>
      </c>
      <c r="E5" s="5" t="s">
        <v>4</v>
      </c>
      <c r="F5" s="2" t="s">
        <v>85</v>
      </c>
      <c r="G5" s="2" t="s">
        <v>86</v>
      </c>
      <c r="H5" s="2" t="s">
        <v>87</v>
      </c>
      <c r="I5" s="2" t="s">
        <v>5</v>
      </c>
      <c r="J5" s="6" t="s">
        <v>88</v>
      </c>
      <c r="K5" s="6" t="s">
        <v>89</v>
      </c>
      <c r="L5" s="3" t="s">
        <v>427</v>
      </c>
    </row>
    <row r="6" spans="1:12" x14ac:dyDescent="0.2">
      <c r="A6" s="3">
        <v>5</v>
      </c>
      <c r="B6" s="3" t="s">
        <v>69</v>
      </c>
      <c r="C6" s="3">
        <v>1</v>
      </c>
      <c r="D6" s="3" t="s">
        <v>90</v>
      </c>
      <c r="E6" s="4" t="s">
        <v>91</v>
      </c>
      <c r="J6" s="6" t="s">
        <v>92</v>
      </c>
      <c r="K6" s="6" t="s">
        <v>93</v>
      </c>
      <c r="L6" s="3" t="s">
        <v>427</v>
      </c>
    </row>
    <row r="7" spans="1:12" x14ac:dyDescent="0.2">
      <c r="A7" s="3">
        <v>6</v>
      </c>
      <c r="B7" s="3" t="s">
        <v>94</v>
      </c>
      <c r="C7" s="3">
        <v>1</v>
      </c>
      <c r="D7" s="3" t="s">
        <v>6</v>
      </c>
      <c r="E7" s="4" t="s">
        <v>46</v>
      </c>
      <c r="J7" s="6" t="s">
        <v>92</v>
      </c>
      <c r="K7" s="6" t="s">
        <v>95</v>
      </c>
      <c r="L7" s="3" t="s">
        <v>427</v>
      </c>
    </row>
    <row r="8" spans="1:12" x14ac:dyDescent="0.2">
      <c r="A8" s="3">
        <v>7</v>
      </c>
      <c r="B8" s="3" t="s">
        <v>69</v>
      </c>
      <c r="C8" s="3">
        <v>1</v>
      </c>
      <c r="D8" s="3" t="s">
        <v>96</v>
      </c>
      <c r="E8" s="4" t="s">
        <v>97</v>
      </c>
      <c r="F8" s="2" t="s">
        <v>98</v>
      </c>
      <c r="G8" s="2" t="s">
        <v>3</v>
      </c>
      <c r="H8" s="2" t="s">
        <v>397</v>
      </c>
      <c r="I8" s="2" t="s">
        <v>7</v>
      </c>
      <c r="J8" s="6" t="s">
        <v>75</v>
      </c>
      <c r="K8" s="6" t="s">
        <v>99</v>
      </c>
      <c r="L8" s="3" t="s">
        <v>427</v>
      </c>
    </row>
    <row r="9" spans="1:12" x14ac:dyDescent="0.2">
      <c r="A9" s="3">
        <v>8</v>
      </c>
      <c r="B9" s="3" t="s">
        <v>69</v>
      </c>
      <c r="C9" s="3">
        <v>1</v>
      </c>
      <c r="D9" s="3" t="s">
        <v>100</v>
      </c>
      <c r="E9" s="4" t="s">
        <v>101</v>
      </c>
      <c r="J9" s="6" t="s">
        <v>13</v>
      </c>
      <c r="K9" s="6" t="s">
        <v>102</v>
      </c>
      <c r="L9" s="3" t="s">
        <v>427</v>
      </c>
    </row>
    <row r="10" spans="1:12" x14ac:dyDescent="0.2">
      <c r="A10" s="3">
        <v>9</v>
      </c>
      <c r="B10" s="3" t="s">
        <v>69</v>
      </c>
      <c r="C10" s="3">
        <v>1</v>
      </c>
      <c r="D10" s="3" t="s">
        <v>103</v>
      </c>
      <c r="E10" s="4" t="s">
        <v>104</v>
      </c>
      <c r="F10" s="2" t="s">
        <v>105</v>
      </c>
      <c r="G10" s="2" t="s">
        <v>9</v>
      </c>
      <c r="H10" s="2" t="s">
        <v>106</v>
      </c>
      <c r="I10" s="2" t="s">
        <v>107</v>
      </c>
      <c r="J10" s="6" t="s">
        <v>108</v>
      </c>
      <c r="K10" s="6" t="s">
        <v>109</v>
      </c>
      <c r="L10" s="3" t="s">
        <v>427</v>
      </c>
    </row>
    <row r="11" spans="1:12" x14ac:dyDescent="0.2">
      <c r="A11" s="3">
        <v>10</v>
      </c>
      <c r="B11" s="3" t="s">
        <v>110</v>
      </c>
      <c r="C11" s="3">
        <v>1</v>
      </c>
      <c r="D11" s="3" t="s">
        <v>111</v>
      </c>
      <c r="E11" s="4" t="s">
        <v>112</v>
      </c>
      <c r="F11" s="2" t="s">
        <v>113</v>
      </c>
      <c r="G11" s="2" t="s">
        <v>10</v>
      </c>
      <c r="H11" s="2" t="s">
        <v>114</v>
      </c>
      <c r="I11" s="2" t="s">
        <v>115</v>
      </c>
      <c r="J11" s="6" t="s">
        <v>116</v>
      </c>
      <c r="K11" s="6" t="s">
        <v>117</v>
      </c>
      <c r="L11" s="3" t="s">
        <v>427</v>
      </c>
    </row>
    <row r="12" spans="1:12" x14ac:dyDescent="0.2">
      <c r="A12" s="3">
        <v>11</v>
      </c>
      <c r="B12" s="3" t="s">
        <v>69</v>
      </c>
      <c r="C12" s="3">
        <v>1</v>
      </c>
      <c r="D12" s="3" t="s">
        <v>8</v>
      </c>
      <c r="E12" s="4" t="s">
        <v>118</v>
      </c>
      <c r="F12" s="2" t="s">
        <v>119</v>
      </c>
      <c r="G12" s="2" t="s">
        <v>12</v>
      </c>
      <c r="H12" s="2" t="s">
        <v>120</v>
      </c>
      <c r="I12" s="2" t="s">
        <v>121</v>
      </c>
      <c r="J12" s="6" t="s">
        <v>122</v>
      </c>
      <c r="K12" s="6" t="s">
        <v>50</v>
      </c>
      <c r="L12" s="3" t="s">
        <v>427</v>
      </c>
    </row>
    <row r="13" spans="1:12" x14ac:dyDescent="0.2">
      <c r="A13" s="3">
        <v>12</v>
      </c>
      <c r="B13" s="3" t="s">
        <v>94</v>
      </c>
      <c r="C13" s="3">
        <v>1</v>
      </c>
      <c r="D13" s="3" t="s">
        <v>100</v>
      </c>
      <c r="E13" s="4" t="s">
        <v>399</v>
      </c>
      <c r="J13" s="6" t="s">
        <v>123</v>
      </c>
      <c r="K13" s="4" t="s">
        <v>124</v>
      </c>
      <c r="L13" s="3" t="s">
        <v>427</v>
      </c>
    </row>
    <row r="14" spans="1:12" x14ac:dyDescent="0.2">
      <c r="A14" s="3">
        <v>13</v>
      </c>
      <c r="B14" s="3" t="s">
        <v>110</v>
      </c>
      <c r="C14" s="3">
        <v>1</v>
      </c>
      <c r="D14" s="3" t="s">
        <v>6</v>
      </c>
      <c r="E14" s="4" t="s">
        <v>125</v>
      </c>
      <c r="J14" s="6" t="s">
        <v>92</v>
      </c>
      <c r="K14" s="4" t="s">
        <v>126</v>
      </c>
      <c r="L14" s="3" t="s">
        <v>427</v>
      </c>
    </row>
    <row r="15" spans="1:12" x14ac:dyDescent="0.2">
      <c r="A15" s="3">
        <v>14</v>
      </c>
      <c r="B15" s="3" t="s">
        <v>110</v>
      </c>
      <c r="C15" s="3">
        <v>2</v>
      </c>
      <c r="D15" s="3" t="s">
        <v>62</v>
      </c>
      <c r="E15" s="4" t="s">
        <v>127</v>
      </c>
      <c r="F15" s="2" t="s">
        <v>15</v>
      </c>
      <c r="G15" s="2" t="s">
        <v>128</v>
      </c>
      <c r="H15" s="2" t="s">
        <v>129</v>
      </c>
      <c r="I15" s="2" t="s">
        <v>130</v>
      </c>
      <c r="J15" s="6" t="s">
        <v>47</v>
      </c>
      <c r="K15" s="4" t="s">
        <v>131</v>
      </c>
      <c r="L15" s="3" t="s">
        <v>427</v>
      </c>
    </row>
    <row r="16" spans="1:12" x14ac:dyDescent="0.2">
      <c r="A16" s="3">
        <v>15</v>
      </c>
      <c r="B16" s="3" t="s">
        <v>110</v>
      </c>
      <c r="C16" s="3">
        <v>2</v>
      </c>
      <c r="D16" s="3" t="s">
        <v>132</v>
      </c>
      <c r="E16" s="5" t="s">
        <v>133</v>
      </c>
      <c r="F16" s="2" t="s">
        <v>134</v>
      </c>
      <c r="G16" s="2" t="s">
        <v>135</v>
      </c>
      <c r="H16" s="2" t="s">
        <v>136</v>
      </c>
      <c r="I16" s="2" t="s">
        <v>137</v>
      </c>
      <c r="J16" s="6" t="s">
        <v>138</v>
      </c>
      <c r="K16" s="4" t="s">
        <v>139</v>
      </c>
      <c r="L16" s="3" t="s">
        <v>427</v>
      </c>
    </row>
    <row r="17" spans="1:12" x14ac:dyDescent="0.2">
      <c r="A17" s="3">
        <v>16</v>
      </c>
      <c r="B17" s="3" t="s">
        <v>69</v>
      </c>
      <c r="C17" s="3">
        <v>2</v>
      </c>
      <c r="D17" s="3" t="s">
        <v>103</v>
      </c>
      <c r="E17" s="5" t="s">
        <v>140</v>
      </c>
      <c r="F17" s="2">
        <v>93.8</v>
      </c>
      <c r="G17" s="2">
        <v>80</v>
      </c>
      <c r="H17" s="2">
        <v>81</v>
      </c>
      <c r="I17" s="2">
        <v>92.8</v>
      </c>
      <c r="J17" s="6" t="s">
        <v>108</v>
      </c>
      <c r="K17" s="4" t="s">
        <v>141</v>
      </c>
      <c r="L17" s="3" t="s">
        <v>427</v>
      </c>
    </row>
    <row r="18" spans="1:12" x14ac:dyDescent="0.2">
      <c r="A18" s="3">
        <v>17</v>
      </c>
      <c r="B18" s="3" t="s">
        <v>110</v>
      </c>
      <c r="C18" s="3">
        <v>2</v>
      </c>
      <c r="D18" s="3" t="s">
        <v>142</v>
      </c>
      <c r="E18" s="5" t="s">
        <v>143</v>
      </c>
      <c r="F18" s="2">
        <v>36</v>
      </c>
      <c r="G18" s="2">
        <v>39.6</v>
      </c>
      <c r="H18" s="2">
        <v>40</v>
      </c>
      <c r="I18" s="2">
        <v>42.12</v>
      </c>
      <c r="J18" s="6" t="s">
        <v>144</v>
      </c>
      <c r="K18" s="4" t="s">
        <v>145</v>
      </c>
      <c r="L18" s="3" t="s">
        <v>427</v>
      </c>
    </row>
    <row r="19" spans="1:12" x14ac:dyDescent="0.2">
      <c r="A19" s="3">
        <v>18</v>
      </c>
      <c r="B19" s="3" t="s">
        <v>110</v>
      </c>
      <c r="C19" s="3">
        <v>2</v>
      </c>
      <c r="D19" s="3" t="s">
        <v>146</v>
      </c>
      <c r="E19" s="5" t="s">
        <v>147</v>
      </c>
      <c r="J19" s="6" t="s">
        <v>148</v>
      </c>
      <c r="K19" s="4" t="s">
        <v>149</v>
      </c>
      <c r="L19" s="3" t="s">
        <v>427</v>
      </c>
    </row>
    <row r="20" spans="1:12" x14ac:dyDescent="0.2">
      <c r="A20" s="3">
        <v>19</v>
      </c>
      <c r="B20" s="3" t="s">
        <v>18</v>
      </c>
      <c r="C20" s="3">
        <v>2</v>
      </c>
      <c r="D20" s="3" t="s">
        <v>146</v>
      </c>
      <c r="E20" s="5" t="s">
        <v>150</v>
      </c>
      <c r="J20" s="6" t="s">
        <v>123</v>
      </c>
      <c r="K20" s="4" t="s">
        <v>48</v>
      </c>
      <c r="L20" s="3" t="s">
        <v>427</v>
      </c>
    </row>
    <row r="21" spans="1:12" x14ac:dyDescent="0.2">
      <c r="A21" s="3">
        <v>20</v>
      </c>
      <c r="B21" s="3" t="s">
        <v>110</v>
      </c>
      <c r="C21" s="3">
        <v>2</v>
      </c>
      <c r="D21" s="3" t="s">
        <v>8</v>
      </c>
      <c r="E21" s="5" t="s">
        <v>151</v>
      </c>
      <c r="F21" s="2">
        <v>15000</v>
      </c>
      <c r="G21" s="2">
        <v>0</v>
      </c>
      <c r="H21" s="2">
        <v>1000</v>
      </c>
      <c r="I21" s="2">
        <v>5000</v>
      </c>
      <c r="J21" s="6" t="s">
        <v>16</v>
      </c>
      <c r="K21" s="4" t="s">
        <v>51</v>
      </c>
      <c r="L21" s="3" t="s">
        <v>427</v>
      </c>
    </row>
    <row r="22" spans="1:12" x14ac:dyDescent="0.2">
      <c r="A22" s="3">
        <v>21</v>
      </c>
      <c r="B22" s="3" t="s">
        <v>110</v>
      </c>
      <c r="C22" s="3">
        <v>2</v>
      </c>
      <c r="D22" s="3" t="s">
        <v>8</v>
      </c>
      <c r="E22" s="5" t="s">
        <v>152</v>
      </c>
      <c r="F22" s="2">
        <v>100</v>
      </c>
      <c r="G22" s="2">
        <v>95</v>
      </c>
      <c r="H22" s="2">
        <v>98</v>
      </c>
      <c r="I22" s="2">
        <v>110</v>
      </c>
      <c r="J22" s="6" t="s">
        <v>153</v>
      </c>
      <c r="K22" s="4" t="s">
        <v>52</v>
      </c>
      <c r="L22" s="3" t="s">
        <v>427</v>
      </c>
    </row>
    <row r="23" spans="1:12" x14ac:dyDescent="0.2">
      <c r="A23" s="3">
        <v>22</v>
      </c>
      <c r="B23" s="3" t="s">
        <v>110</v>
      </c>
      <c r="C23" s="3">
        <v>2</v>
      </c>
      <c r="D23" s="3" t="s">
        <v>146</v>
      </c>
      <c r="E23" s="5" t="s">
        <v>154</v>
      </c>
      <c r="J23" s="6" t="s">
        <v>155</v>
      </c>
      <c r="K23" s="4" t="s">
        <v>156</v>
      </c>
      <c r="L23" s="3" t="s">
        <v>427</v>
      </c>
    </row>
    <row r="24" spans="1:12" x14ac:dyDescent="0.2">
      <c r="A24" s="3">
        <v>23</v>
      </c>
      <c r="B24" s="3" t="s">
        <v>110</v>
      </c>
      <c r="C24" s="3">
        <v>2</v>
      </c>
      <c r="D24" s="3" t="s">
        <v>157</v>
      </c>
      <c r="E24" s="5" t="s">
        <v>158</v>
      </c>
      <c r="F24" s="2">
        <v>6</v>
      </c>
      <c r="G24" s="2">
        <v>16</v>
      </c>
      <c r="H24" s="2">
        <v>26</v>
      </c>
      <c r="I24" s="2">
        <v>36</v>
      </c>
      <c r="J24" s="6" t="s">
        <v>14</v>
      </c>
      <c r="K24" s="4" t="s">
        <v>159</v>
      </c>
      <c r="L24" s="3" t="s">
        <v>427</v>
      </c>
    </row>
    <row r="25" spans="1:12" x14ac:dyDescent="0.2">
      <c r="A25" s="3">
        <v>24</v>
      </c>
      <c r="B25" s="3" t="s">
        <v>110</v>
      </c>
      <c r="C25" s="3">
        <v>3</v>
      </c>
      <c r="D25" s="3" t="s">
        <v>146</v>
      </c>
      <c r="E25" s="4" t="s">
        <v>160</v>
      </c>
      <c r="J25" s="6" t="s">
        <v>161</v>
      </c>
      <c r="K25" s="4" t="s">
        <v>162</v>
      </c>
      <c r="L25" s="3" t="s">
        <v>427</v>
      </c>
    </row>
    <row r="26" spans="1:12" x14ac:dyDescent="0.2">
      <c r="A26" s="3">
        <v>25</v>
      </c>
      <c r="B26" s="3" t="s">
        <v>69</v>
      </c>
      <c r="C26" s="3">
        <v>3</v>
      </c>
      <c r="D26" s="3" t="s">
        <v>142</v>
      </c>
      <c r="E26" s="4" t="s">
        <v>163</v>
      </c>
      <c r="F26" s="2">
        <v>500</v>
      </c>
      <c r="G26" s="2">
        <v>510</v>
      </c>
      <c r="H26" s="2">
        <v>585</v>
      </c>
      <c r="I26" s="2">
        <v>596</v>
      </c>
      <c r="J26" s="6" t="s">
        <v>144</v>
      </c>
      <c r="K26" t="s">
        <v>164</v>
      </c>
      <c r="L26" s="3" t="s">
        <v>427</v>
      </c>
    </row>
    <row r="27" spans="1:12" x14ac:dyDescent="0.2">
      <c r="A27" s="3">
        <v>26</v>
      </c>
      <c r="B27" s="3" t="s">
        <v>110</v>
      </c>
      <c r="C27" s="3">
        <v>3</v>
      </c>
      <c r="D27" s="3" t="s">
        <v>90</v>
      </c>
      <c r="E27" s="4" t="s">
        <v>165</v>
      </c>
      <c r="J27" s="6" t="s">
        <v>123</v>
      </c>
      <c r="K27" t="s">
        <v>166</v>
      </c>
      <c r="L27" s="3" t="s">
        <v>427</v>
      </c>
    </row>
    <row r="28" spans="1:12" x14ac:dyDescent="0.2">
      <c r="A28" s="3">
        <v>27</v>
      </c>
      <c r="B28" s="3" t="s">
        <v>110</v>
      </c>
      <c r="C28" s="3">
        <v>3</v>
      </c>
      <c r="D28" s="3" t="s">
        <v>146</v>
      </c>
      <c r="E28" s="4" t="s">
        <v>398</v>
      </c>
      <c r="J28" s="6" t="s">
        <v>167</v>
      </c>
      <c r="K28" t="s">
        <v>168</v>
      </c>
      <c r="L28" s="3" t="s">
        <v>427</v>
      </c>
    </row>
    <row r="29" spans="1:12" x14ac:dyDescent="0.2">
      <c r="A29" s="3">
        <v>28</v>
      </c>
      <c r="B29" s="3" t="s">
        <v>69</v>
      </c>
      <c r="C29" s="3">
        <v>3</v>
      </c>
      <c r="D29" s="3" t="s">
        <v>103</v>
      </c>
      <c r="E29" s="4" t="s">
        <v>169</v>
      </c>
      <c r="F29" s="2">
        <v>30</v>
      </c>
      <c r="G29" s="2">
        <v>20</v>
      </c>
      <c r="H29" s="2">
        <v>50</v>
      </c>
      <c r="I29" s="2">
        <v>60</v>
      </c>
      <c r="J29" s="6" t="s">
        <v>170</v>
      </c>
      <c r="K29" s="4" t="s">
        <v>171</v>
      </c>
      <c r="L29" s="3" t="s">
        <v>427</v>
      </c>
    </row>
    <row r="30" spans="1:12" x14ac:dyDescent="0.2">
      <c r="A30" s="3">
        <v>29</v>
      </c>
      <c r="B30" s="3" t="s">
        <v>77</v>
      </c>
      <c r="C30" s="3">
        <v>3</v>
      </c>
      <c r="D30" s="3" t="s">
        <v>142</v>
      </c>
      <c r="E30" s="4" t="s">
        <v>172</v>
      </c>
      <c r="F30" s="2">
        <v>0</v>
      </c>
      <c r="G30" s="2">
        <v>20</v>
      </c>
      <c r="H30" s="2">
        <v>50</v>
      </c>
      <c r="I30" s="2">
        <v>100</v>
      </c>
      <c r="J30" s="6" t="s">
        <v>144</v>
      </c>
      <c r="K30" s="4" t="s">
        <v>173</v>
      </c>
      <c r="L30" s="3" t="s">
        <v>427</v>
      </c>
    </row>
    <row r="31" spans="1:12" x14ac:dyDescent="0.2">
      <c r="A31" s="3">
        <v>30</v>
      </c>
      <c r="B31" s="3" t="s">
        <v>69</v>
      </c>
      <c r="C31" s="3">
        <v>3</v>
      </c>
      <c r="D31" s="3" t="s">
        <v>103</v>
      </c>
      <c r="E31" s="4" t="s">
        <v>174</v>
      </c>
      <c r="F31" s="2">
        <v>136.80000000000001</v>
      </c>
      <c r="G31" s="2">
        <v>144</v>
      </c>
      <c r="H31" s="2">
        <v>187.34</v>
      </c>
      <c r="I31" s="2">
        <v>190</v>
      </c>
      <c r="J31" s="6" t="s">
        <v>175</v>
      </c>
      <c r="K31" s="4" t="s">
        <v>176</v>
      </c>
      <c r="L31" s="3" t="s">
        <v>427</v>
      </c>
    </row>
    <row r="32" spans="1:12" x14ac:dyDescent="0.2">
      <c r="A32" s="3">
        <v>31</v>
      </c>
      <c r="B32" s="3" t="s">
        <v>110</v>
      </c>
      <c r="C32" s="3">
        <v>3</v>
      </c>
      <c r="D32" s="3" t="s">
        <v>142</v>
      </c>
      <c r="E32" s="4" t="s">
        <v>177</v>
      </c>
      <c r="F32" s="2" t="s">
        <v>178</v>
      </c>
      <c r="G32" s="2" t="s">
        <v>179</v>
      </c>
      <c r="H32" s="2" t="s">
        <v>180</v>
      </c>
      <c r="I32" s="2" t="s">
        <v>181</v>
      </c>
      <c r="J32" s="6" t="s">
        <v>182</v>
      </c>
      <c r="K32" s="4" t="s">
        <v>183</v>
      </c>
      <c r="L32" s="3" t="s">
        <v>427</v>
      </c>
    </row>
    <row r="33" spans="1:12" x14ac:dyDescent="0.2">
      <c r="A33" s="3">
        <v>32</v>
      </c>
      <c r="B33" s="3" t="s">
        <v>110</v>
      </c>
      <c r="C33" s="3">
        <v>3</v>
      </c>
      <c r="D33" s="3" t="s">
        <v>78</v>
      </c>
      <c r="E33" s="4" t="s">
        <v>184</v>
      </c>
      <c r="F33" s="2" t="s">
        <v>185</v>
      </c>
      <c r="G33" s="2" t="s">
        <v>186</v>
      </c>
      <c r="H33" s="2" t="s">
        <v>187</v>
      </c>
      <c r="I33" s="2" t="s">
        <v>188</v>
      </c>
      <c r="J33" s="6" t="s">
        <v>189</v>
      </c>
      <c r="K33" s="6" t="s">
        <v>190</v>
      </c>
      <c r="L33" s="3" t="s">
        <v>427</v>
      </c>
    </row>
    <row r="34" spans="1:12" x14ac:dyDescent="0.2">
      <c r="A34" s="3">
        <v>33</v>
      </c>
      <c r="B34" s="3" t="s">
        <v>110</v>
      </c>
      <c r="C34" s="3">
        <v>3</v>
      </c>
      <c r="D34" s="3" t="s">
        <v>111</v>
      </c>
      <c r="E34" s="4" t="s">
        <v>191</v>
      </c>
      <c r="F34" s="2">
        <v>750</v>
      </c>
      <c r="G34" s="2">
        <v>812.5</v>
      </c>
      <c r="H34" s="2">
        <v>950</v>
      </c>
      <c r="I34" s="2">
        <v>1000</v>
      </c>
      <c r="J34" s="6" t="s">
        <v>175</v>
      </c>
      <c r="K34" s="4" t="s">
        <v>192</v>
      </c>
      <c r="L34" s="3" t="s">
        <v>427</v>
      </c>
    </row>
    <row r="35" spans="1:12" x14ac:dyDescent="0.2">
      <c r="A35" s="3">
        <v>34</v>
      </c>
      <c r="B35" s="3" t="s">
        <v>69</v>
      </c>
      <c r="C35" s="3">
        <v>3</v>
      </c>
      <c r="D35" s="3" t="s">
        <v>142</v>
      </c>
      <c r="E35" s="4" t="s">
        <v>193</v>
      </c>
      <c r="F35" s="2">
        <v>2200</v>
      </c>
      <c r="G35" s="2">
        <v>1720</v>
      </c>
      <c r="H35" s="2">
        <v>1200</v>
      </c>
      <c r="I35" s="2">
        <v>2199</v>
      </c>
      <c r="J35" s="6" t="s">
        <v>175</v>
      </c>
      <c r="K35" s="4" t="s">
        <v>194</v>
      </c>
      <c r="L35" s="3" t="s">
        <v>427</v>
      </c>
    </row>
    <row r="36" spans="1:12" x14ac:dyDescent="0.2">
      <c r="A36" s="3">
        <v>35</v>
      </c>
      <c r="B36" s="3" t="s">
        <v>110</v>
      </c>
      <c r="C36" s="3">
        <v>3</v>
      </c>
      <c r="D36" s="3" t="s">
        <v>132</v>
      </c>
      <c r="E36" s="4" t="s">
        <v>195</v>
      </c>
      <c r="F36" s="2" t="s">
        <v>196</v>
      </c>
      <c r="G36" s="2" t="s">
        <v>197</v>
      </c>
      <c r="H36" s="2" t="s">
        <v>198</v>
      </c>
      <c r="I36" s="2" t="s">
        <v>199</v>
      </c>
      <c r="J36" s="6" t="s">
        <v>200</v>
      </c>
      <c r="K36" s="4" t="s">
        <v>201</v>
      </c>
      <c r="L36" s="3" t="s">
        <v>427</v>
      </c>
    </row>
    <row r="37" spans="1:12" x14ac:dyDescent="0.2">
      <c r="A37" s="3">
        <v>36</v>
      </c>
      <c r="B37" s="3" t="s">
        <v>77</v>
      </c>
      <c r="C37" s="3">
        <v>3</v>
      </c>
      <c r="D37" s="3" t="s">
        <v>146</v>
      </c>
      <c r="E37" s="4" t="s">
        <v>202</v>
      </c>
      <c r="J37" s="6" t="s">
        <v>161</v>
      </c>
      <c r="K37" s="4" t="s">
        <v>203</v>
      </c>
      <c r="L37" s="3" t="s">
        <v>427</v>
      </c>
    </row>
    <row r="38" spans="1:12" x14ac:dyDescent="0.2">
      <c r="A38" s="3">
        <v>37</v>
      </c>
      <c r="B38" s="3" t="s">
        <v>69</v>
      </c>
      <c r="C38" s="3">
        <v>3</v>
      </c>
      <c r="D38" s="3" t="s">
        <v>142</v>
      </c>
      <c r="E38" s="4" t="s">
        <v>204</v>
      </c>
      <c r="F38" s="2">
        <v>54</v>
      </c>
      <c r="G38" s="2">
        <v>62</v>
      </c>
      <c r="H38" s="2">
        <v>87.5</v>
      </c>
      <c r="I38" s="2">
        <v>79.5</v>
      </c>
      <c r="J38" s="6" t="s">
        <v>205</v>
      </c>
      <c r="K38" s="4" t="s">
        <v>206</v>
      </c>
      <c r="L38" s="3" t="s">
        <v>427</v>
      </c>
    </row>
    <row r="39" spans="1:12" x14ac:dyDescent="0.2">
      <c r="A39" s="3">
        <v>38</v>
      </c>
      <c r="B39" s="3" t="s">
        <v>18</v>
      </c>
      <c r="C39" s="3">
        <v>3</v>
      </c>
      <c r="D39" s="3" t="s">
        <v>142</v>
      </c>
      <c r="E39" s="4" t="s">
        <v>207</v>
      </c>
      <c r="F39" s="7">
        <v>200000</v>
      </c>
      <c r="G39" s="7">
        <v>210000</v>
      </c>
      <c r="H39" s="7">
        <v>218200</v>
      </c>
      <c r="I39" s="7">
        <v>220000</v>
      </c>
      <c r="J39" s="6" t="s">
        <v>208</v>
      </c>
      <c r="K39" s="4" t="s">
        <v>209</v>
      </c>
      <c r="L39" s="3" t="s">
        <v>427</v>
      </c>
    </row>
    <row r="40" spans="1:12" x14ac:dyDescent="0.2">
      <c r="A40" s="3">
        <v>39</v>
      </c>
      <c r="B40" s="3" t="s">
        <v>18</v>
      </c>
      <c r="C40" s="3">
        <v>4</v>
      </c>
      <c r="D40" s="3" t="s">
        <v>142</v>
      </c>
      <c r="E40" s="4" t="s">
        <v>210</v>
      </c>
      <c r="F40" s="2">
        <v>203</v>
      </c>
      <c r="G40" s="2">
        <v>201</v>
      </c>
      <c r="H40" s="2">
        <v>207</v>
      </c>
      <c r="I40" s="2">
        <v>200</v>
      </c>
      <c r="J40" s="6" t="s">
        <v>144</v>
      </c>
      <c r="K40" t="s">
        <v>211</v>
      </c>
      <c r="L40" s="3" t="s">
        <v>427</v>
      </c>
    </row>
    <row r="41" spans="1:12" x14ac:dyDescent="0.2">
      <c r="A41" s="3">
        <v>40</v>
      </c>
      <c r="B41" s="3" t="s">
        <v>69</v>
      </c>
      <c r="C41" s="3">
        <v>4</v>
      </c>
      <c r="D41" s="3" t="s">
        <v>142</v>
      </c>
      <c r="E41" s="4" t="s">
        <v>212</v>
      </c>
      <c r="F41" s="2">
        <v>102</v>
      </c>
      <c r="G41" s="2">
        <v>100</v>
      </c>
      <c r="H41" s="2">
        <v>112</v>
      </c>
      <c r="I41" s="2">
        <v>114</v>
      </c>
      <c r="J41" s="6" t="s">
        <v>175</v>
      </c>
      <c r="K41" t="s">
        <v>213</v>
      </c>
      <c r="L41" s="3" t="s">
        <v>427</v>
      </c>
    </row>
    <row r="42" spans="1:12" x14ac:dyDescent="0.2">
      <c r="A42" s="3">
        <v>41</v>
      </c>
      <c r="B42" s="3" t="s">
        <v>69</v>
      </c>
      <c r="C42" s="3">
        <v>4</v>
      </c>
      <c r="D42" s="3" t="s">
        <v>78</v>
      </c>
      <c r="E42" s="4" t="s">
        <v>214</v>
      </c>
      <c r="F42" s="2" t="s">
        <v>215</v>
      </c>
      <c r="G42" s="2" t="s">
        <v>216</v>
      </c>
      <c r="H42" s="2" t="s">
        <v>217</v>
      </c>
      <c r="I42" s="2" t="s">
        <v>218</v>
      </c>
      <c r="J42" s="6" t="s">
        <v>219</v>
      </c>
      <c r="K42" s="6" t="s">
        <v>220</v>
      </c>
      <c r="L42" s="3" t="s">
        <v>427</v>
      </c>
    </row>
    <row r="43" spans="1:12" x14ac:dyDescent="0.2">
      <c r="A43" s="3">
        <v>42</v>
      </c>
      <c r="B43" s="3" t="s">
        <v>110</v>
      </c>
      <c r="C43" s="3">
        <v>4</v>
      </c>
      <c r="D43" s="3" t="s">
        <v>146</v>
      </c>
      <c r="E43" s="4" t="s">
        <v>221</v>
      </c>
      <c r="J43" s="6" t="s">
        <v>155</v>
      </c>
      <c r="K43" t="s">
        <v>222</v>
      </c>
      <c r="L43" s="3" t="s">
        <v>427</v>
      </c>
    </row>
    <row r="44" spans="1:12" x14ac:dyDescent="0.2">
      <c r="A44" s="3">
        <v>43</v>
      </c>
      <c r="B44" s="3" t="s">
        <v>110</v>
      </c>
      <c r="C44" s="3">
        <v>4</v>
      </c>
      <c r="D44" s="3" t="s">
        <v>132</v>
      </c>
      <c r="E44" s="4" t="s">
        <v>223</v>
      </c>
      <c r="F44" s="2" t="s">
        <v>224</v>
      </c>
      <c r="G44" s="2" t="s">
        <v>225</v>
      </c>
      <c r="H44" s="2" t="s">
        <v>226</v>
      </c>
      <c r="I44" s="2" t="s">
        <v>227</v>
      </c>
      <c r="J44" s="6" t="s">
        <v>228</v>
      </c>
      <c r="K44" s="6" t="s">
        <v>229</v>
      </c>
      <c r="L44" s="3" t="s">
        <v>427</v>
      </c>
    </row>
    <row r="45" spans="1:12" x14ac:dyDescent="0.2">
      <c r="A45" s="3">
        <v>44</v>
      </c>
      <c r="B45" s="3" t="s">
        <v>110</v>
      </c>
      <c r="C45" s="3">
        <v>4</v>
      </c>
      <c r="D45" s="3" t="s">
        <v>132</v>
      </c>
      <c r="E45" s="4" t="s">
        <v>230</v>
      </c>
      <c r="F45" s="2" t="s">
        <v>231</v>
      </c>
      <c r="G45" s="2" t="s">
        <v>232</v>
      </c>
      <c r="H45" s="2" t="s">
        <v>233</v>
      </c>
      <c r="I45" s="2" t="s">
        <v>234</v>
      </c>
      <c r="J45" s="6" t="s">
        <v>189</v>
      </c>
      <c r="K45" s="6" t="s">
        <v>235</v>
      </c>
      <c r="L45" s="3" t="s">
        <v>427</v>
      </c>
    </row>
    <row r="46" spans="1:12" x14ac:dyDescent="0.2">
      <c r="A46" s="3">
        <v>45</v>
      </c>
      <c r="B46" s="3" t="s">
        <v>94</v>
      </c>
      <c r="C46" s="3">
        <v>4</v>
      </c>
      <c r="D46" s="3" t="s">
        <v>132</v>
      </c>
      <c r="E46" s="4" t="s">
        <v>236</v>
      </c>
      <c r="F46" s="2" t="s">
        <v>237</v>
      </c>
      <c r="G46" s="2" t="s">
        <v>238</v>
      </c>
      <c r="H46" s="2" t="s">
        <v>239</v>
      </c>
      <c r="I46" s="2" t="s">
        <v>240</v>
      </c>
      <c r="J46" s="6" t="s">
        <v>189</v>
      </c>
      <c r="K46" s="6" t="s">
        <v>241</v>
      </c>
      <c r="L46" s="3" t="s">
        <v>427</v>
      </c>
    </row>
    <row r="47" spans="1:12" x14ac:dyDescent="0.2">
      <c r="A47" s="3">
        <v>46</v>
      </c>
      <c r="B47" s="3" t="s">
        <v>110</v>
      </c>
      <c r="C47" s="3">
        <v>4</v>
      </c>
      <c r="D47" s="3" t="s">
        <v>146</v>
      </c>
      <c r="E47" s="4" t="s">
        <v>242</v>
      </c>
      <c r="J47" s="6" t="s">
        <v>123</v>
      </c>
      <c r="K47" s="6" t="s">
        <v>166</v>
      </c>
      <c r="L47" s="3" t="s">
        <v>427</v>
      </c>
    </row>
    <row r="48" spans="1:12" x14ac:dyDescent="0.2">
      <c r="A48" s="3">
        <v>47</v>
      </c>
      <c r="B48" s="3" t="s">
        <v>110</v>
      </c>
      <c r="C48" s="3">
        <v>4</v>
      </c>
      <c r="D48" s="3" t="s">
        <v>142</v>
      </c>
      <c r="E48" s="4" t="s">
        <v>243</v>
      </c>
      <c r="F48" s="2">
        <v>12.5</v>
      </c>
      <c r="G48" s="2">
        <v>15</v>
      </c>
      <c r="H48" s="2">
        <v>37.5</v>
      </c>
      <c r="I48" s="2">
        <v>40</v>
      </c>
      <c r="J48" s="6" t="s">
        <v>144</v>
      </c>
      <c r="K48" s="6" t="s">
        <v>244</v>
      </c>
      <c r="L48" s="3" t="s">
        <v>427</v>
      </c>
    </row>
    <row r="49" spans="1:12" x14ac:dyDescent="0.2">
      <c r="A49" s="3">
        <v>48</v>
      </c>
      <c r="B49" s="3" t="s">
        <v>69</v>
      </c>
      <c r="C49" s="3">
        <v>4</v>
      </c>
      <c r="D49" s="3" t="s">
        <v>245</v>
      </c>
      <c r="E49" s="4" t="s">
        <v>246</v>
      </c>
      <c r="F49" s="2" t="s">
        <v>49</v>
      </c>
      <c r="G49" s="2" t="s">
        <v>247</v>
      </c>
      <c r="H49" s="2" t="s">
        <v>248</v>
      </c>
      <c r="I49" s="2" t="s">
        <v>249</v>
      </c>
      <c r="J49" s="6" t="s">
        <v>250</v>
      </c>
      <c r="K49" s="4" t="s">
        <v>251</v>
      </c>
      <c r="L49" s="3" t="s">
        <v>427</v>
      </c>
    </row>
    <row r="50" spans="1:12" x14ac:dyDescent="0.2">
      <c r="A50" s="3">
        <v>49</v>
      </c>
      <c r="B50" s="3" t="s">
        <v>77</v>
      </c>
      <c r="C50" s="3">
        <v>4</v>
      </c>
      <c r="D50" s="3" t="s">
        <v>132</v>
      </c>
      <c r="E50" s="4" t="s">
        <v>252</v>
      </c>
      <c r="F50" s="2" t="s">
        <v>253</v>
      </c>
      <c r="G50" s="2" t="s">
        <v>254</v>
      </c>
      <c r="H50" s="2" t="s">
        <v>255</v>
      </c>
      <c r="I50" s="2" t="s">
        <v>256</v>
      </c>
      <c r="J50" s="6" t="s">
        <v>138</v>
      </c>
      <c r="K50" s="4" t="s">
        <v>257</v>
      </c>
      <c r="L50" s="3" t="s">
        <v>427</v>
      </c>
    </row>
    <row r="51" spans="1:12" x14ac:dyDescent="0.2">
      <c r="A51" s="3">
        <v>50</v>
      </c>
      <c r="B51" s="3" t="s">
        <v>110</v>
      </c>
      <c r="C51" s="3">
        <v>4</v>
      </c>
      <c r="D51" s="3" t="s">
        <v>142</v>
      </c>
      <c r="E51" s="4" t="s">
        <v>258</v>
      </c>
      <c r="F51" s="2">
        <v>81</v>
      </c>
      <c r="G51" s="2">
        <v>87</v>
      </c>
      <c r="H51" s="2">
        <v>63</v>
      </c>
      <c r="I51" s="2">
        <v>79.5</v>
      </c>
      <c r="J51" s="6" t="s">
        <v>175</v>
      </c>
      <c r="K51" s="10" t="s">
        <v>259</v>
      </c>
      <c r="L51" s="3" t="s">
        <v>427</v>
      </c>
    </row>
    <row r="52" spans="1:12" x14ac:dyDescent="0.2">
      <c r="A52" s="3">
        <v>51</v>
      </c>
      <c r="B52" s="3" t="s">
        <v>69</v>
      </c>
      <c r="C52" s="3">
        <v>4</v>
      </c>
      <c r="D52" s="3" t="s">
        <v>146</v>
      </c>
      <c r="E52" s="4" t="s">
        <v>260</v>
      </c>
      <c r="J52" s="6" t="s">
        <v>123</v>
      </c>
      <c r="K52" s="4" t="s">
        <v>261</v>
      </c>
      <c r="L52" s="3" t="s">
        <v>427</v>
      </c>
    </row>
    <row r="53" spans="1:12" x14ac:dyDescent="0.2">
      <c r="A53" s="3">
        <v>52</v>
      </c>
      <c r="B53" s="3" t="s">
        <v>110</v>
      </c>
      <c r="C53" s="3">
        <v>6</v>
      </c>
      <c r="D53" s="3" t="s">
        <v>146</v>
      </c>
      <c r="E53" s="4" t="s">
        <v>262</v>
      </c>
      <c r="J53" s="6" t="s">
        <v>148</v>
      </c>
      <c r="K53" s="4" t="s">
        <v>263</v>
      </c>
      <c r="L53" s="3" t="s">
        <v>427</v>
      </c>
    </row>
    <row r="54" spans="1:12" x14ac:dyDescent="0.2">
      <c r="A54" s="3">
        <v>53</v>
      </c>
      <c r="B54" s="3" t="s">
        <v>110</v>
      </c>
      <c r="C54" s="3">
        <v>6</v>
      </c>
      <c r="D54" s="3" t="s">
        <v>146</v>
      </c>
      <c r="E54" s="4" t="s">
        <v>264</v>
      </c>
      <c r="J54" s="6" t="s">
        <v>123</v>
      </c>
      <c r="K54" s="4" t="s">
        <v>265</v>
      </c>
      <c r="L54" s="3" t="s">
        <v>427</v>
      </c>
    </row>
    <row r="55" spans="1:12" x14ac:dyDescent="0.2">
      <c r="A55" s="3">
        <v>54</v>
      </c>
      <c r="B55" s="3" t="s">
        <v>110</v>
      </c>
      <c r="C55" s="3">
        <v>6</v>
      </c>
      <c r="D55" s="3" t="s">
        <v>142</v>
      </c>
      <c r="E55" s="4" t="s">
        <v>266</v>
      </c>
      <c r="F55" s="2" t="s">
        <v>267</v>
      </c>
      <c r="G55" s="2" t="s">
        <v>268</v>
      </c>
      <c r="H55" s="2" t="s">
        <v>269</v>
      </c>
      <c r="I55" s="2" t="s">
        <v>270</v>
      </c>
      <c r="J55" s="6" t="s">
        <v>208</v>
      </c>
      <c r="K55" s="4" t="s">
        <v>271</v>
      </c>
      <c r="L55" s="3" t="s">
        <v>427</v>
      </c>
    </row>
    <row r="56" spans="1:12" x14ac:dyDescent="0.2">
      <c r="A56" s="3">
        <v>55</v>
      </c>
      <c r="B56" s="3" t="s">
        <v>110</v>
      </c>
      <c r="C56" s="3">
        <v>6</v>
      </c>
      <c r="D56" s="3" t="s">
        <v>78</v>
      </c>
      <c r="E56" s="4" t="s">
        <v>272</v>
      </c>
      <c r="F56" s="2" t="s">
        <v>273</v>
      </c>
      <c r="G56" s="2" t="s">
        <v>274</v>
      </c>
      <c r="H56" s="2" t="s">
        <v>275</v>
      </c>
      <c r="I56" s="2" t="s">
        <v>276</v>
      </c>
      <c r="J56" s="6" t="s">
        <v>277</v>
      </c>
      <c r="K56" s="2" t="s">
        <v>278</v>
      </c>
      <c r="L56" s="3" t="s">
        <v>427</v>
      </c>
    </row>
    <row r="57" spans="1:12" x14ac:dyDescent="0.2">
      <c r="A57" s="3">
        <v>56</v>
      </c>
      <c r="B57" s="3" t="s">
        <v>110</v>
      </c>
      <c r="C57" s="3">
        <v>6</v>
      </c>
      <c r="D57" s="3" t="s">
        <v>90</v>
      </c>
      <c r="E57" s="4" t="s">
        <v>279</v>
      </c>
      <c r="J57" s="6" t="s">
        <v>155</v>
      </c>
      <c r="K57" s="4" t="s">
        <v>280</v>
      </c>
      <c r="L57" s="3" t="s">
        <v>427</v>
      </c>
    </row>
    <row r="58" spans="1:12" x14ac:dyDescent="0.2">
      <c r="A58" s="3">
        <v>57</v>
      </c>
      <c r="B58" s="3" t="s">
        <v>69</v>
      </c>
      <c r="C58" s="3">
        <v>6</v>
      </c>
      <c r="D58" s="3" t="s">
        <v>142</v>
      </c>
      <c r="E58" s="4" t="s">
        <v>281</v>
      </c>
      <c r="F58" s="2">
        <v>3700</v>
      </c>
      <c r="G58" s="2">
        <v>3800</v>
      </c>
      <c r="H58" s="2">
        <v>3850</v>
      </c>
      <c r="I58" s="2">
        <v>4000</v>
      </c>
      <c r="J58" s="6" t="s">
        <v>182</v>
      </c>
      <c r="K58" s="4" t="s">
        <v>282</v>
      </c>
      <c r="L58" s="3" t="s">
        <v>427</v>
      </c>
    </row>
    <row r="59" spans="1:12" x14ac:dyDescent="0.2">
      <c r="A59" s="3">
        <v>58</v>
      </c>
      <c r="B59" s="3" t="s">
        <v>110</v>
      </c>
      <c r="C59" s="3">
        <v>6</v>
      </c>
      <c r="D59" s="3" t="s">
        <v>132</v>
      </c>
      <c r="E59" s="4" t="s">
        <v>283</v>
      </c>
      <c r="F59" s="2" t="s">
        <v>284</v>
      </c>
      <c r="G59" s="2" t="s">
        <v>285</v>
      </c>
      <c r="H59" s="2" t="s">
        <v>286</v>
      </c>
      <c r="I59" s="2" t="s">
        <v>287</v>
      </c>
      <c r="J59" s="6" t="s">
        <v>288</v>
      </c>
      <c r="K59" s="4" t="s">
        <v>289</v>
      </c>
      <c r="L59" s="3" t="s">
        <v>427</v>
      </c>
    </row>
    <row r="60" spans="1:12" x14ac:dyDescent="0.2">
      <c r="A60" s="3">
        <v>59</v>
      </c>
      <c r="B60" s="3" t="s">
        <v>69</v>
      </c>
      <c r="C60" s="3">
        <v>6</v>
      </c>
      <c r="D60" s="3" t="s">
        <v>245</v>
      </c>
      <c r="E60" s="4" t="s">
        <v>290</v>
      </c>
      <c r="F60" s="2" t="s">
        <v>291</v>
      </c>
      <c r="G60" s="2" t="s">
        <v>275</v>
      </c>
      <c r="H60" s="2" t="s">
        <v>292</v>
      </c>
      <c r="I60" s="2" t="s">
        <v>293</v>
      </c>
      <c r="J60" s="6" t="s">
        <v>294</v>
      </c>
      <c r="K60" s="4" t="s">
        <v>295</v>
      </c>
      <c r="L60" s="3" t="s">
        <v>427</v>
      </c>
    </row>
    <row r="61" spans="1:12" x14ac:dyDescent="0.2">
      <c r="A61" s="3">
        <v>60</v>
      </c>
      <c r="B61" s="3" t="s">
        <v>110</v>
      </c>
      <c r="C61" s="3">
        <v>6</v>
      </c>
      <c r="D61" s="3" t="s">
        <v>142</v>
      </c>
      <c r="E61" s="4" t="s">
        <v>296</v>
      </c>
      <c r="F61" s="2" t="s">
        <v>297</v>
      </c>
      <c r="G61" s="2" t="s">
        <v>298</v>
      </c>
      <c r="H61" s="2" t="s">
        <v>299</v>
      </c>
      <c r="I61" s="2" t="s">
        <v>300</v>
      </c>
      <c r="J61" s="6" t="s">
        <v>175</v>
      </c>
      <c r="K61" s="4" t="s">
        <v>295</v>
      </c>
      <c r="L61" s="3" t="s">
        <v>427</v>
      </c>
    </row>
    <row r="62" spans="1:12" x14ac:dyDescent="0.2">
      <c r="A62" s="3">
        <v>61</v>
      </c>
      <c r="B62" s="3" t="s">
        <v>110</v>
      </c>
      <c r="C62" s="3">
        <v>6</v>
      </c>
      <c r="D62" s="3" t="s">
        <v>142</v>
      </c>
      <c r="E62" s="4" t="s">
        <v>301</v>
      </c>
      <c r="F62" s="2" t="s">
        <v>299</v>
      </c>
      <c r="G62" s="2" t="s">
        <v>302</v>
      </c>
      <c r="H62" s="2" t="s">
        <v>303</v>
      </c>
      <c r="I62" s="2" t="s">
        <v>304</v>
      </c>
      <c r="J62" s="6" t="s">
        <v>144</v>
      </c>
      <c r="K62" s="4" t="s">
        <v>305</v>
      </c>
      <c r="L62" s="3" t="s">
        <v>427</v>
      </c>
    </row>
    <row r="63" spans="1:12" x14ac:dyDescent="0.2">
      <c r="A63" s="3">
        <v>62</v>
      </c>
      <c r="B63" s="3" t="s">
        <v>110</v>
      </c>
      <c r="C63" s="3">
        <v>7</v>
      </c>
      <c r="D63" s="3" t="s">
        <v>103</v>
      </c>
      <c r="E63" s="4" t="s">
        <v>310</v>
      </c>
      <c r="F63" s="2" t="s">
        <v>311</v>
      </c>
      <c r="G63" s="2" t="s">
        <v>312</v>
      </c>
      <c r="H63" s="2" t="s">
        <v>313</v>
      </c>
      <c r="I63" s="2" t="s">
        <v>314</v>
      </c>
      <c r="J63" s="6" t="s">
        <v>336</v>
      </c>
      <c r="K63" s="4" t="s">
        <v>337</v>
      </c>
      <c r="L63" s="3" t="s">
        <v>427</v>
      </c>
    </row>
    <row r="64" spans="1:12" x14ac:dyDescent="0.2">
      <c r="A64" s="3">
        <v>63</v>
      </c>
      <c r="B64" s="3" t="s">
        <v>110</v>
      </c>
      <c r="C64" s="3">
        <v>7</v>
      </c>
      <c r="D64" s="3" t="s">
        <v>245</v>
      </c>
      <c r="E64" s="4" t="s">
        <v>315</v>
      </c>
      <c r="F64" s="2" t="s">
        <v>316</v>
      </c>
      <c r="G64" s="2" t="s">
        <v>317</v>
      </c>
      <c r="H64" s="2" t="s">
        <v>318</v>
      </c>
      <c r="I64" s="2" t="s">
        <v>319</v>
      </c>
      <c r="J64" s="6" t="s">
        <v>338</v>
      </c>
      <c r="K64" s="4" t="s">
        <v>339</v>
      </c>
      <c r="L64" s="3" t="s">
        <v>427</v>
      </c>
    </row>
    <row r="65" spans="1:12" x14ac:dyDescent="0.2">
      <c r="A65" s="3">
        <v>64</v>
      </c>
      <c r="B65" s="3" t="s">
        <v>69</v>
      </c>
      <c r="C65" s="3">
        <v>7</v>
      </c>
      <c r="D65" s="3" t="s">
        <v>90</v>
      </c>
      <c r="E65" s="4" t="s">
        <v>320</v>
      </c>
      <c r="J65" s="6" t="s">
        <v>342</v>
      </c>
      <c r="K65" s="4" t="s">
        <v>340</v>
      </c>
      <c r="L65" s="3" t="s">
        <v>427</v>
      </c>
    </row>
    <row r="66" spans="1:12" x14ac:dyDescent="0.2">
      <c r="A66" s="3">
        <v>65</v>
      </c>
      <c r="B66" s="3" t="s">
        <v>110</v>
      </c>
      <c r="C66" s="3">
        <v>7</v>
      </c>
      <c r="D66" s="3" t="s">
        <v>245</v>
      </c>
      <c r="E66" s="4" t="s">
        <v>321</v>
      </c>
      <c r="F66" s="2" t="s">
        <v>322</v>
      </c>
      <c r="G66" s="2" t="s">
        <v>323</v>
      </c>
      <c r="H66" s="2" t="s">
        <v>324</v>
      </c>
      <c r="I66" s="2" t="s">
        <v>325</v>
      </c>
      <c r="J66" s="6" t="s">
        <v>343</v>
      </c>
      <c r="K66" s="4" t="s">
        <v>341</v>
      </c>
      <c r="L66" s="3" t="s">
        <v>427</v>
      </c>
    </row>
    <row r="67" spans="1:12" x14ac:dyDescent="0.2">
      <c r="A67" s="3">
        <v>66</v>
      </c>
      <c r="B67" s="3" t="s">
        <v>18</v>
      </c>
      <c r="C67" s="3">
        <v>7</v>
      </c>
      <c r="D67" s="3" t="s">
        <v>90</v>
      </c>
      <c r="E67" s="4" t="s">
        <v>326</v>
      </c>
      <c r="J67" s="6" t="s">
        <v>13</v>
      </c>
      <c r="K67" s="4" t="s">
        <v>344</v>
      </c>
      <c r="L67" s="3" t="s">
        <v>427</v>
      </c>
    </row>
    <row r="68" spans="1:12" x14ac:dyDescent="0.2">
      <c r="A68" s="3">
        <v>67</v>
      </c>
      <c r="B68" s="3" t="s">
        <v>110</v>
      </c>
      <c r="C68" s="3">
        <v>7</v>
      </c>
      <c r="D68" s="3" t="s">
        <v>90</v>
      </c>
      <c r="E68" s="4" t="s">
        <v>327</v>
      </c>
      <c r="J68" s="6" t="s">
        <v>13</v>
      </c>
      <c r="K68" s="4" t="s">
        <v>345</v>
      </c>
      <c r="L68" s="3" t="s">
        <v>427</v>
      </c>
    </row>
    <row r="69" spans="1:12" x14ac:dyDescent="0.2">
      <c r="A69" s="3">
        <v>68</v>
      </c>
      <c r="B69" s="3" t="s">
        <v>18</v>
      </c>
      <c r="C69" s="3">
        <v>7</v>
      </c>
      <c r="D69" s="3" t="s">
        <v>103</v>
      </c>
      <c r="E69" s="4" t="s">
        <v>328</v>
      </c>
      <c r="F69" s="2">
        <v>420</v>
      </c>
      <c r="G69" s="2">
        <v>410</v>
      </c>
      <c r="H69" s="2">
        <v>370</v>
      </c>
      <c r="I69" s="2">
        <v>460</v>
      </c>
      <c r="J69" s="6" t="s">
        <v>347</v>
      </c>
      <c r="K69" s="4" t="s">
        <v>346</v>
      </c>
      <c r="L69" s="3" t="s">
        <v>427</v>
      </c>
    </row>
    <row r="70" spans="1:12" x14ac:dyDescent="0.2">
      <c r="A70" s="3">
        <v>69</v>
      </c>
      <c r="B70" s="3" t="s">
        <v>110</v>
      </c>
      <c r="C70" s="3">
        <v>7</v>
      </c>
      <c r="D70" s="3" t="s">
        <v>245</v>
      </c>
      <c r="E70" s="4" t="s">
        <v>329</v>
      </c>
      <c r="F70" s="2" t="s">
        <v>330</v>
      </c>
      <c r="G70" s="2" t="s">
        <v>331</v>
      </c>
      <c r="H70" s="2" t="s">
        <v>332</v>
      </c>
      <c r="I70" s="2" t="s">
        <v>333</v>
      </c>
      <c r="J70" s="6" t="s">
        <v>348</v>
      </c>
      <c r="K70" s="4" t="s">
        <v>349</v>
      </c>
      <c r="L70" s="3" t="s">
        <v>427</v>
      </c>
    </row>
    <row r="71" spans="1:12" x14ac:dyDescent="0.2">
      <c r="A71" s="3">
        <v>70</v>
      </c>
      <c r="B71" s="3" t="s">
        <v>18</v>
      </c>
      <c r="C71" s="3">
        <v>7</v>
      </c>
      <c r="D71" s="3" t="s">
        <v>90</v>
      </c>
      <c r="E71" s="4" t="s">
        <v>334</v>
      </c>
      <c r="J71" s="6" t="s">
        <v>356</v>
      </c>
      <c r="K71" s="4" t="s">
        <v>350</v>
      </c>
      <c r="L71" s="3" t="s">
        <v>427</v>
      </c>
    </row>
    <row r="72" spans="1:12" x14ac:dyDescent="0.2">
      <c r="A72" s="3">
        <v>71</v>
      </c>
      <c r="B72" s="3" t="s">
        <v>110</v>
      </c>
      <c r="C72" s="3">
        <v>7</v>
      </c>
      <c r="D72" s="3" t="s">
        <v>90</v>
      </c>
      <c r="E72" s="4" t="s">
        <v>335</v>
      </c>
      <c r="J72" s="6" t="s">
        <v>357</v>
      </c>
      <c r="K72" s="4" t="s">
        <v>351</v>
      </c>
      <c r="L72" s="3" t="s">
        <v>427</v>
      </c>
    </row>
    <row r="73" spans="1:12" x14ac:dyDescent="0.2">
      <c r="A73" s="3">
        <v>72</v>
      </c>
      <c r="B73" s="3" t="s">
        <v>18</v>
      </c>
      <c r="C73" s="3">
        <v>8</v>
      </c>
      <c r="D73" s="3" t="s">
        <v>8</v>
      </c>
      <c r="E73" s="4" t="s">
        <v>359</v>
      </c>
      <c r="F73" s="2" t="s">
        <v>360</v>
      </c>
      <c r="G73" s="2" t="s">
        <v>361</v>
      </c>
      <c r="H73" s="2" t="s">
        <v>362</v>
      </c>
      <c r="I73" s="2" t="s">
        <v>400</v>
      </c>
      <c r="J73" s="6" t="s">
        <v>380</v>
      </c>
      <c r="K73" s="4" t="s">
        <v>401</v>
      </c>
      <c r="L73" s="3" t="s">
        <v>427</v>
      </c>
    </row>
    <row r="74" spans="1:12" x14ac:dyDescent="0.2">
      <c r="A74" s="3">
        <v>73</v>
      </c>
      <c r="B74" s="3" t="s">
        <v>110</v>
      </c>
      <c r="C74" s="3">
        <v>8</v>
      </c>
      <c r="D74" s="3" t="s">
        <v>6</v>
      </c>
      <c r="E74" s="4" t="s">
        <v>363</v>
      </c>
      <c r="J74" s="6" t="s">
        <v>381</v>
      </c>
      <c r="K74" s="4" t="s">
        <v>382</v>
      </c>
      <c r="L74" s="3" t="s">
        <v>427</v>
      </c>
    </row>
    <row r="75" spans="1:12" x14ac:dyDescent="0.2">
      <c r="A75" s="3">
        <v>74</v>
      </c>
      <c r="B75" s="3" t="s">
        <v>18</v>
      </c>
      <c r="C75" s="3">
        <v>8</v>
      </c>
      <c r="D75" s="3" t="s">
        <v>6</v>
      </c>
      <c r="E75" s="4" t="s">
        <v>364</v>
      </c>
      <c r="J75" s="6" t="s">
        <v>381</v>
      </c>
      <c r="K75" s="4" t="s">
        <v>383</v>
      </c>
      <c r="L75" s="3" t="s">
        <v>427</v>
      </c>
    </row>
    <row r="76" spans="1:12" x14ac:dyDescent="0.2">
      <c r="A76" s="3">
        <v>75</v>
      </c>
      <c r="B76" s="3" t="s">
        <v>110</v>
      </c>
      <c r="C76" s="3">
        <v>8</v>
      </c>
      <c r="D76" s="3" t="s">
        <v>8</v>
      </c>
      <c r="E76" s="4" t="s">
        <v>365</v>
      </c>
      <c r="F76" s="2">
        <v>580</v>
      </c>
      <c r="G76" s="2">
        <v>490</v>
      </c>
      <c r="H76" s="2">
        <v>500</v>
      </c>
      <c r="I76" s="2">
        <v>570</v>
      </c>
      <c r="J76" s="6" t="s">
        <v>384</v>
      </c>
      <c r="K76" s="4" t="s">
        <v>385</v>
      </c>
      <c r="L76" s="3" t="s">
        <v>427</v>
      </c>
    </row>
    <row r="77" spans="1:12" x14ac:dyDescent="0.2">
      <c r="A77" s="3">
        <v>76</v>
      </c>
      <c r="B77" s="3" t="s">
        <v>18</v>
      </c>
      <c r="C77" s="3">
        <v>8</v>
      </c>
      <c r="D77" s="3" t="s">
        <v>62</v>
      </c>
      <c r="E77" s="4" t="s">
        <v>366</v>
      </c>
      <c r="F77" s="2" t="s">
        <v>367</v>
      </c>
      <c r="G77" s="2" t="s">
        <v>368</v>
      </c>
      <c r="H77" s="2" t="s">
        <v>369</v>
      </c>
      <c r="I77" s="2" t="s">
        <v>370</v>
      </c>
      <c r="J77" s="6" t="s">
        <v>386</v>
      </c>
      <c r="K77" s="4" t="s">
        <v>387</v>
      </c>
      <c r="L77" s="3" t="s">
        <v>427</v>
      </c>
    </row>
    <row r="78" spans="1:12" x14ac:dyDescent="0.2">
      <c r="A78" s="3">
        <v>77</v>
      </c>
      <c r="B78" s="3" t="s">
        <v>110</v>
      </c>
      <c r="C78" s="3">
        <v>8</v>
      </c>
      <c r="D78" s="3" t="s">
        <v>62</v>
      </c>
      <c r="E78" s="4" t="s">
        <v>371</v>
      </c>
      <c r="F78" s="2" t="s">
        <v>372</v>
      </c>
      <c r="G78" s="2" t="s">
        <v>373</v>
      </c>
      <c r="H78" s="2" t="s">
        <v>374</v>
      </c>
      <c r="I78" s="2" t="s">
        <v>375</v>
      </c>
      <c r="J78" s="6" t="s">
        <v>389</v>
      </c>
      <c r="K78" s="4" t="s">
        <v>388</v>
      </c>
      <c r="L78" s="3" t="s">
        <v>427</v>
      </c>
    </row>
    <row r="79" spans="1:12" x14ac:dyDescent="0.2">
      <c r="A79" s="3">
        <v>78</v>
      </c>
      <c r="B79" s="3" t="s">
        <v>18</v>
      </c>
      <c r="C79" s="3">
        <v>8</v>
      </c>
      <c r="D79" s="3" t="s">
        <v>8</v>
      </c>
      <c r="E79" s="4" t="s">
        <v>376</v>
      </c>
      <c r="F79" s="2">
        <v>580</v>
      </c>
      <c r="G79" s="2">
        <v>600</v>
      </c>
      <c r="H79" s="2">
        <v>10</v>
      </c>
      <c r="I79" s="2">
        <v>590</v>
      </c>
      <c r="J79" s="6" t="s">
        <v>390</v>
      </c>
      <c r="K79" s="4" t="s">
        <v>391</v>
      </c>
      <c r="L79" s="3" t="s">
        <v>427</v>
      </c>
    </row>
    <row r="80" spans="1:12" x14ac:dyDescent="0.2">
      <c r="A80" s="3">
        <v>79</v>
      </c>
      <c r="B80" s="3" t="s">
        <v>110</v>
      </c>
      <c r="C80" s="3">
        <v>8</v>
      </c>
      <c r="D80" s="3" t="s">
        <v>8</v>
      </c>
      <c r="E80" s="4" t="s">
        <v>377</v>
      </c>
      <c r="F80" s="2">
        <v>1095</v>
      </c>
      <c r="G80" s="2">
        <v>1075</v>
      </c>
      <c r="H80" s="2">
        <v>1082.83</v>
      </c>
      <c r="I80" s="2">
        <v>1062.83</v>
      </c>
      <c r="J80" s="6" t="s">
        <v>390</v>
      </c>
      <c r="K80" s="4" t="s">
        <v>392</v>
      </c>
      <c r="L80" s="3" t="s">
        <v>427</v>
      </c>
    </row>
    <row r="81" spans="1:12" x14ac:dyDescent="0.2">
      <c r="A81" s="3">
        <v>80</v>
      </c>
      <c r="B81" s="3" t="s">
        <v>18</v>
      </c>
      <c r="C81" s="3">
        <v>8</v>
      </c>
      <c r="D81" s="3" t="s">
        <v>6</v>
      </c>
      <c r="E81" s="4" t="s">
        <v>402</v>
      </c>
      <c r="J81" s="6" t="s">
        <v>381</v>
      </c>
      <c r="K81" s="4" t="s">
        <v>393</v>
      </c>
      <c r="L81" s="3" t="s">
        <v>427</v>
      </c>
    </row>
    <row r="82" spans="1:12" x14ac:dyDescent="0.2">
      <c r="A82" s="3">
        <v>81</v>
      </c>
      <c r="B82" s="3" t="s">
        <v>110</v>
      </c>
      <c r="C82" s="3">
        <v>8</v>
      </c>
      <c r="D82" s="3" t="s">
        <v>6</v>
      </c>
      <c r="E82" s="4" t="s">
        <v>378</v>
      </c>
      <c r="J82" s="6" t="s">
        <v>155</v>
      </c>
      <c r="K82" s="4" t="s">
        <v>394</v>
      </c>
      <c r="L82" s="3" t="s">
        <v>427</v>
      </c>
    </row>
    <row r="83" spans="1:12" x14ac:dyDescent="0.2">
      <c r="A83" s="3">
        <v>82</v>
      </c>
      <c r="B83" s="3" t="s">
        <v>18</v>
      </c>
      <c r="C83" s="3">
        <v>8</v>
      </c>
      <c r="D83" s="3" t="s">
        <v>8</v>
      </c>
      <c r="E83" s="4" t="s">
        <v>379</v>
      </c>
      <c r="F83" s="2">
        <v>18000</v>
      </c>
      <c r="G83" s="2">
        <v>18652</v>
      </c>
      <c r="H83" s="2">
        <v>18800</v>
      </c>
      <c r="I83" s="2">
        <v>18948</v>
      </c>
      <c r="J83" s="6" t="s">
        <v>395</v>
      </c>
      <c r="K83" s="4" t="s">
        <v>396</v>
      </c>
      <c r="L83" s="3" t="s">
        <v>427</v>
      </c>
    </row>
    <row r="84" spans="1:12" x14ac:dyDescent="0.2">
      <c r="A84" s="3">
        <v>83</v>
      </c>
      <c r="B84" s="3" t="s">
        <v>110</v>
      </c>
      <c r="C84" s="3">
        <v>1</v>
      </c>
      <c r="D84" s="3" t="s">
        <v>6</v>
      </c>
      <c r="E84" s="4" t="s">
        <v>403</v>
      </c>
      <c r="J84" s="6" t="s">
        <v>155</v>
      </c>
      <c r="K84" s="4" t="s">
        <v>404</v>
      </c>
      <c r="L84" s="3" t="s">
        <v>428</v>
      </c>
    </row>
    <row r="85" spans="1:12" x14ac:dyDescent="0.2">
      <c r="A85" s="3">
        <v>84</v>
      </c>
      <c r="B85" s="3" t="s">
        <v>18</v>
      </c>
      <c r="C85" s="3">
        <v>1</v>
      </c>
      <c r="D85" s="3" t="s">
        <v>6</v>
      </c>
      <c r="E85" s="4" t="s">
        <v>405</v>
      </c>
      <c r="J85" s="6" t="s">
        <v>155</v>
      </c>
      <c r="K85" s="4" t="s">
        <v>406</v>
      </c>
      <c r="L85" s="3" t="s">
        <v>428</v>
      </c>
    </row>
    <row r="86" spans="1:12" x14ac:dyDescent="0.2">
      <c r="A86" s="3">
        <v>85</v>
      </c>
      <c r="B86" s="3" t="s">
        <v>110</v>
      </c>
      <c r="C86" s="3">
        <v>1</v>
      </c>
      <c r="D86" s="3" t="s">
        <v>8</v>
      </c>
      <c r="E86" s="4" t="s">
        <v>407</v>
      </c>
      <c r="F86" s="2" t="s">
        <v>409</v>
      </c>
      <c r="G86" s="2" t="s">
        <v>410</v>
      </c>
      <c r="H86" s="2" t="s">
        <v>411</v>
      </c>
      <c r="I86" s="2" t="s">
        <v>412</v>
      </c>
      <c r="J86" s="6" t="s">
        <v>408</v>
      </c>
      <c r="K86" s="6" t="s">
        <v>413</v>
      </c>
      <c r="L86" s="3" t="s">
        <v>428</v>
      </c>
    </row>
    <row r="87" spans="1:12" x14ac:dyDescent="0.2">
      <c r="A87" s="3">
        <v>86</v>
      </c>
      <c r="B87" s="3" t="s">
        <v>18</v>
      </c>
      <c r="C87" s="3">
        <v>1</v>
      </c>
      <c r="D87" s="3" t="s">
        <v>8</v>
      </c>
      <c r="E87" s="4" t="s">
        <v>414</v>
      </c>
      <c r="F87" s="2" t="s">
        <v>415</v>
      </c>
      <c r="G87" s="2" t="s">
        <v>412</v>
      </c>
      <c r="H87" s="2" t="s">
        <v>416</v>
      </c>
      <c r="I87" s="2" t="s">
        <v>417</v>
      </c>
      <c r="J87" s="6" t="s">
        <v>395</v>
      </c>
      <c r="K87" s="6" t="s">
        <v>418</v>
      </c>
      <c r="L87" s="3" t="s">
        <v>428</v>
      </c>
    </row>
    <row r="88" spans="1:12" x14ac:dyDescent="0.2">
      <c r="A88" s="3">
        <v>87</v>
      </c>
      <c r="B88" s="3" t="s">
        <v>110</v>
      </c>
      <c r="C88" s="3">
        <v>1</v>
      </c>
      <c r="D88" s="3" t="s">
        <v>8</v>
      </c>
      <c r="E88" s="4" t="s">
        <v>419</v>
      </c>
      <c r="F88" s="2" t="s">
        <v>420</v>
      </c>
      <c r="G88" s="2" t="s">
        <v>421</v>
      </c>
      <c r="H88" s="2" t="s">
        <v>422</v>
      </c>
      <c r="I88" s="2" t="s">
        <v>423</v>
      </c>
      <c r="J88" s="6" t="s">
        <v>424</v>
      </c>
      <c r="K88" s="6" t="s">
        <v>425</v>
      </c>
      <c r="L88" s="3" t="s">
        <v>428</v>
      </c>
    </row>
    <row r="89" spans="1:12" x14ac:dyDescent="0.2">
      <c r="A89" s="3">
        <v>88</v>
      </c>
      <c r="B89" s="3" t="s">
        <v>18</v>
      </c>
      <c r="C89" s="3">
        <v>1</v>
      </c>
      <c r="D89" s="3" t="s">
        <v>62</v>
      </c>
      <c r="E89" s="4" t="s">
        <v>429</v>
      </c>
      <c r="F89" s="2" t="s">
        <v>430</v>
      </c>
      <c r="G89" s="2" t="s">
        <v>431</v>
      </c>
      <c r="H89" s="2" t="s">
        <v>432</v>
      </c>
      <c r="I89" s="2" t="s">
        <v>433</v>
      </c>
      <c r="J89" s="6" t="s">
        <v>434</v>
      </c>
      <c r="K89" s="6" t="s">
        <v>435</v>
      </c>
      <c r="L89" s="3" t="s">
        <v>428</v>
      </c>
    </row>
    <row r="90" spans="1:12" x14ac:dyDescent="0.2">
      <c r="A90" s="3">
        <v>89</v>
      </c>
      <c r="B90" s="3" t="s">
        <v>18</v>
      </c>
      <c r="C90" s="3">
        <v>1</v>
      </c>
      <c r="D90" s="3" t="s">
        <v>62</v>
      </c>
      <c r="E90" s="4" t="s">
        <v>436</v>
      </c>
      <c r="F90" s="2" t="s">
        <v>437</v>
      </c>
      <c r="G90" s="2" t="s">
        <v>438</v>
      </c>
      <c r="H90" s="2" t="s">
        <v>439</v>
      </c>
      <c r="I90" s="2" t="s">
        <v>440</v>
      </c>
      <c r="J90" s="6" t="s">
        <v>441</v>
      </c>
      <c r="K90" t="s">
        <v>442</v>
      </c>
      <c r="L90" s="3" t="s">
        <v>428</v>
      </c>
    </row>
    <row r="91" spans="1:12" x14ac:dyDescent="0.2">
      <c r="A91" s="3">
        <v>90</v>
      </c>
      <c r="B91" s="3" t="s">
        <v>18</v>
      </c>
      <c r="C91" s="3">
        <v>1</v>
      </c>
      <c r="D91" s="3" t="s">
        <v>6</v>
      </c>
      <c r="E91" s="4" t="s">
        <v>443</v>
      </c>
      <c r="J91" s="6" t="s">
        <v>155</v>
      </c>
      <c r="K91" s="6" t="s">
        <v>444</v>
      </c>
      <c r="L91" s="3" t="s">
        <v>428</v>
      </c>
    </row>
    <row r="92" spans="1:12" x14ac:dyDescent="0.2">
      <c r="A92" s="3">
        <v>91</v>
      </c>
      <c r="B92" s="3" t="s">
        <v>18</v>
      </c>
      <c r="C92" s="3">
        <v>1</v>
      </c>
      <c r="D92" s="3" t="s">
        <v>8</v>
      </c>
      <c r="E92" s="4" t="s">
        <v>445</v>
      </c>
      <c r="F92" s="2" t="s">
        <v>446</v>
      </c>
      <c r="G92" s="2" t="s">
        <v>447</v>
      </c>
      <c r="H92" s="2" t="s">
        <v>448</v>
      </c>
      <c r="I92" s="2" t="s">
        <v>449</v>
      </c>
      <c r="J92" s="6" t="s">
        <v>450</v>
      </c>
      <c r="K92" s="6" t="s">
        <v>451</v>
      </c>
      <c r="L92" s="3" t="s">
        <v>428</v>
      </c>
    </row>
    <row r="93" spans="1:12" x14ac:dyDescent="0.2">
      <c r="A93" s="3">
        <v>92</v>
      </c>
      <c r="B93" s="3" t="s">
        <v>18</v>
      </c>
      <c r="C93" s="3">
        <v>1</v>
      </c>
      <c r="D93" s="3" t="s">
        <v>6</v>
      </c>
      <c r="E93" s="4" t="s">
        <v>452</v>
      </c>
      <c r="J93" s="6" t="s">
        <v>453</v>
      </c>
      <c r="K93" s="4" t="s">
        <v>454</v>
      </c>
      <c r="L93" s="3" t="s">
        <v>428</v>
      </c>
    </row>
    <row r="94" spans="1:12" x14ac:dyDescent="0.2">
      <c r="A94" s="3">
        <v>93</v>
      </c>
      <c r="B94" s="3" t="s">
        <v>18</v>
      </c>
      <c r="C94" s="3">
        <v>1</v>
      </c>
      <c r="D94" s="3" t="s">
        <v>6</v>
      </c>
      <c r="E94" s="4" t="s">
        <v>455</v>
      </c>
      <c r="J94" s="6" t="s">
        <v>155</v>
      </c>
      <c r="K94" s="4" t="s">
        <v>456</v>
      </c>
      <c r="L94" s="3" t="s">
        <v>428</v>
      </c>
    </row>
    <row r="95" spans="1:12" x14ac:dyDescent="0.2">
      <c r="A95" s="3">
        <v>94</v>
      </c>
      <c r="B95" s="3" t="s">
        <v>18</v>
      </c>
      <c r="C95" s="3">
        <v>1</v>
      </c>
      <c r="D95" s="3" t="s">
        <v>8</v>
      </c>
      <c r="E95" s="4" t="s">
        <v>457</v>
      </c>
      <c r="F95" s="2" t="s">
        <v>458</v>
      </c>
      <c r="G95" s="2" t="s">
        <v>459</v>
      </c>
      <c r="H95" s="2" t="s">
        <v>460</v>
      </c>
      <c r="I95" s="2" t="s">
        <v>461</v>
      </c>
      <c r="J95" s="6" t="s">
        <v>462</v>
      </c>
      <c r="K95" s="4" t="s">
        <v>463</v>
      </c>
      <c r="L95" s="3" t="s">
        <v>428</v>
      </c>
    </row>
    <row r="96" spans="1:12" x14ac:dyDescent="0.2">
      <c r="A96" s="3">
        <v>95</v>
      </c>
      <c r="B96" s="3" t="s">
        <v>18</v>
      </c>
      <c r="C96" s="3">
        <v>1</v>
      </c>
      <c r="D96" s="3" t="s">
        <v>8</v>
      </c>
      <c r="E96" s="4" t="s">
        <v>464</v>
      </c>
      <c r="F96" s="2" t="s">
        <v>465</v>
      </c>
      <c r="G96" s="2" t="s">
        <v>410</v>
      </c>
      <c r="H96" s="2" t="s">
        <v>466</v>
      </c>
      <c r="I96" s="2" t="s">
        <v>467</v>
      </c>
      <c r="J96" s="6" t="s">
        <v>468</v>
      </c>
      <c r="K96" s="4" t="s">
        <v>469</v>
      </c>
      <c r="L96" s="3" t="s">
        <v>428</v>
      </c>
    </row>
    <row r="97" spans="1:12" x14ac:dyDescent="0.2">
      <c r="A97" s="3">
        <v>96</v>
      </c>
      <c r="B97" s="3" t="s">
        <v>18</v>
      </c>
      <c r="C97" s="3">
        <v>1</v>
      </c>
      <c r="D97" s="3" t="s">
        <v>8</v>
      </c>
      <c r="E97" s="4" t="s">
        <v>470</v>
      </c>
      <c r="F97" s="2" t="s">
        <v>416</v>
      </c>
      <c r="G97" s="2" t="s">
        <v>417</v>
      </c>
      <c r="H97" s="2" t="s">
        <v>465</v>
      </c>
      <c r="I97" s="2" t="s">
        <v>467</v>
      </c>
      <c r="J97" s="6" t="s">
        <v>471</v>
      </c>
      <c r="K97" s="4" t="s">
        <v>472</v>
      </c>
      <c r="L97" s="3" t="s">
        <v>428</v>
      </c>
    </row>
    <row r="98" spans="1:12" x14ac:dyDescent="0.2">
      <c r="A98" s="3">
        <v>97</v>
      </c>
      <c r="B98" s="3" t="s">
        <v>18</v>
      </c>
      <c r="C98" s="3">
        <v>1</v>
      </c>
      <c r="D98" s="3" t="s">
        <v>6</v>
      </c>
      <c r="E98" s="4" t="s">
        <v>473</v>
      </c>
      <c r="J98" s="6" t="s">
        <v>155</v>
      </c>
      <c r="K98" s="4" t="s">
        <v>474</v>
      </c>
      <c r="L98" s="3" t="s">
        <v>428</v>
      </c>
    </row>
    <row r="99" spans="1:12" x14ac:dyDescent="0.2">
      <c r="A99" s="3">
        <v>98</v>
      </c>
      <c r="B99" s="3" t="s">
        <v>18</v>
      </c>
      <c r="C99" s="3">
        <v>1</v>
      </c>
      <c r="D99" s="3" t="s">
        <v>8</v>
      </c>
      <c r="E99" s="4" t="s">
        <v>475</v>
      </c>
      <c r="F99" s="2" t="s">
        <v>476</v>
      </c>
      <c r="G99" s="2" t="s">
        <v>477</v>
      </c>
      <c r="H99" s="2" t="s">
        <v>478</v>
      </c>
      <c r="I99" s="2" t="s">
        <v>479</v>
      </c>
      <c r="J99" s="6" t="s">
        <v>462</v>
      </c>
      <c r="K99" s="6" t="s">
        <v>480</v>
      </c>
      <c r="L99" s="3" t="s">
        <v>428</v>
      </c>
    </row>
    <row r="100" spans="1:12" x14ac:dyDescent="0.2">
      <c r="A100" s="3">
        <v>99</v>
      </c>
      <c r="B100" s="3" t="s">
        <v>18</v>
      </c>
      <c r="C100" s="3">
        <v>1</v>
      </c>
      <c r="D100" s="3" t="s">
        <v>62</v>
      </c>
      <c r="E100" s="4" t="s">
        <v>481</v>
      </c>
      <c r="F100" s="2" t="s">
        <v>482</v>
      </c>
      <c r="G100" s="2" t="s">
        <v>483</v>
      </c>
      <c r="H100" s="2" t="s">
        <v>484</v>
      </c>
      <c r="I100" s="2" t="s">
        <v>485</v>
      </c>
      <c r="J100" s="6" t="s">
        <v>486</v>
      </c>
      <c r="K100" s="6" t="s">
        <v>487</v>
      </c>
      <c r="L100" s="3" t="s">
        <v>428</v>
      </c>
    </row>
    <row r="101" spans="1:12" x14ac:dyDescent="0.2">
      <c r="A101" s="3">
        <v>100</v>
      </c>
      <c r="B101" s="3" t="s">
        <v>18</v>
      </c>
      <c r="C101" s="3">
        <v>1</v>
      </c>
      <c r="D101" s="3" t="s">
        <v>62</v>
      </c>
      <c r="E101" s="4" t="s">
        <v>488</v>
      </c>
      <c r="F101" s="2" t="s">
        <v>489</v>
      </c>
      <c r="G101" s="2" t="s">
        <v>490</v>
      </c>
      <c r="H101" s="2" t="s">
        <v>491</v>
      </c>
      <c r="I101" s="2" t="s">
        <v>492</v>
      </c>
      <c r="J101" s="6" t="s">
        <v>493</v>
      </c>
      <c r="K101" s="6" t="s">
        <v>494</v>
      </c>
      <c r="L101" s="3" t="s">
        <v>428</v>
      </c>
    </row>
    <row r="102" spans="1:12" x14ac:dyDescent="0.2">
      <c r="A102" s="3">
        <v>101</v>
      </c>
      <c r="B102" s="3" t="s">
        <v>18</v>
      </c>
      <c r="C102" s="3">
        <v>1</v>
      </c>
      <c r="D102" s="3" t="s">
        <v>6</v>
      </c>
      <c r="E102" s="4" t="s">
        <v>495</v>
      </c>
      <c r="J102" s="6" t="s">
        <v>453</v>
      </c>
      <c r="K102" s="6" t="s">
        <v>496</v>
      </c>
      <c r="L102" s="3" t="s">
        <v>428</v>
      </c>
    </row>
    <row r="103" spans="1:12" x14ac:dyDescent="0.2">
      <c r="A103" s="3">
        <v>102</v>
      </c>
      <c r="B103" s="3" t="s">
        <v>18</v>
      </c>
      <c r="C103" s="3">
        <v>1</v>
      </c>
      <c r="D103" s="3" t="s">
        <v>6</v>
      </c>
      <c r="E103" s="4" t="s">
        <v>497</v>
      </c>
      <c r="J103" s="6" t="s">
        <v>453</v>
      </c>
      <c r="K103" s="6" t="s">
        <v>498</v>
      </c>
      <c r="L103" s="3" t="s">
        <v>428</v>
      </c>
    </row>
    <row r="104" spans="1:12" x14ac:dyDescent="0.2">
      <c r="A104" s="3">
        <v>103</v>
      </c>
      <c r="B104" s="3" t="s">
        <v>18</v>
      </c>
      <c r="C104" s="3">
        <v>1</v>
      </c>
      <c r="D104" s="3" t="s">
        <v>6</v>
      </c>
      <c r="E104" s="4" t="s">
        <v>499</v>
      </c>
      <c r="J104" s="6" t="s">
        <v>155</v>
      </c>
      <c r="K104" s="6" t="s">
        <v>500</v>
      </c>
      <c r="L104" s="3" t="s">
        <v>428</v>
      </c>
    </row>
    <row r="105" spans="1:12" x14ac:dyDescent="0.2">
      <c r="A105" s="3">
        <v>104</v>
      </c>
      <c r="B105" s="3" t="s">
        <v>18</v>
      </c>
      <c r="C105" s="3">
        <v>1</v>
      </c>
      <c r="D105" s="3" t="s">
        <v>6</v>
      </c>
      <c r="E105" s="4" t="s">
        <v>501</v>
      </c>
      <c r="J105" s="6" t="s">
        <v>155</v>
      </c>
      <c r="K105" s="6" t="s">
        <v>502</v>
      </c>
      <c r="L105" s="3" t="s">
        <v>428</v>
      </c>
    </row>
    <row r="106" spans="1:12" x14ac:dyDescent="0.2">
      <c r="A106" s="3">
        <v>105</v>
      </c>
      <c r="B106" s="3" t="s">
        <v>18</v>
      </c>
      <c r="C106" s="3">
        <v>1</v>
      </c>
      <c r="D106" s="3" t="s">
        <v>6</v>
      </c>
      <c r="E106" s="4" t="s">
        <v>503</v>
      </c>
      <c r="J106" s="6" t="s">
        <v>453</v>
      </c>
      <c r="K106" s="6" t="s">
        <v>504</v>
      </c>
      <c r="L106" s="3" t="s">
        <v>428</v>
      </c>
    </row>
    <row r="107" spans="1:12" x14ac:dyDescent="0.2">
      <c r="A107" s="3">
        <v>106</v>
      </c>
      <c r="B107" s="3" t="s">
        <v>18</v>
      </c>
      <c r="C107" s="3">
        <v>1</v>
      </c>
      <c r="D107" s="3" t="s">
        <v>6</v>
      </c>
      <c r="E107" s="4" t="s">
        <v>505</v>
      </c>
      <c r="J107" s="6" t="s">
        <v>155</v>
      </c>
      <c r="K107" s="6" t="s">
        <v>506</v>
      </c>
      <c r="L107" s="3" t="s">
        <v>428</v>
      </c>
    </row>
    <row r="108" spans="1:12" x14ac:dyDescent="0.2">
      <c r="A108" s="3">
        <v>107</v>
      </c>
      <c r="B108" s="3" t="s">
        <v>18</v>
      </c>
      <c r="C108" s="3">
        <v>1</v>
      </c>
      <c r="D108" s="3" t="s">
        <v>62</v>
      </c>
      <c r="E108" s="4" t="s">
        <v>507</v>
      </c>
      <c r="F108" s="2" t="s">
        <v>508</v>
      </c>
      <c r="G108" s="2" t="s">
        <v>509</v>
      </c>
      <c r="H108" s="2" t="s">
        <v>511</v>
      </c>
      <c r="I108" s="2" t="s">
        <v>512</v>
      </c>
      <c r="J108" s="6" t="s">
        <v>513</v>
      </c>
      <c r="K108" s="4" t="s">
        <v>514</v>
      </c>
      <c r="L108" s="3" t="s">
        <v>428</v>
      </c>
    </row>
    <row r="109" spans="1:12" x14ac:dyDescent="0.2">
      <c r="A109" s="3">
        <v>108</v>
      </c>
      <c r="B109" s="3" t="s">
        <v>18</v>
      </c>
      <c r="C109" s="3">
        <v>1</v>
      </c>
      <c r="D109" s="3" t="s">
        <v>6</v>
      </c>
      <c r="E109" s="4" t="s">
        <v>515</v>
      </c>
      <c r="G109" s="2" t="s">
        <v>510</v>
      </c>
      <c r="J109" s="6" t="s">
        <v>453</v>
      </c>
      <c r="K109" s="4" t="s">
        <v>516</v>
      </c>
      <c r="L109" s="3" t="s">
        <v>428</v>
      </c>
    </row>
    <row r="110" spans="1:12" x14ac:dyDescent="0.2">
      <c r="A110" s="3">
        <v>109</v>
      </c>
      <c r="B110" s="3" t="s">
        <v>18</v>
      </c>
      <c r="C110" s="3">
        <v>1</v>
      </c>
      <c r="D110" s="3" t="s">
        <v>8</v>
      </c>
      <c r="E110" s="4" t="s">
        <v>517</v>
      </c>
      <c r="F110" s="2" t="s">
        <v>476</v>
      </c>
      <c r="G110" s="2" t="s">
        <v>518</v>
      </c>
      <c r="H110" s="2" t="s">
        <v>519</v>
      </c>
      <c r="I110" s="2" t="s">
        <v>520</v>
      </c>
      <c r="J110" s="6" t="s">
        <v>521</v>
      </c>
      <c r="K110" s="4" t="s">
        <v>522</v>
      </c>
      <c r="L110" s="3" t="s">
        <v>428</v>
      </c>
    </row>
    <row r="111" spans="1:12" x14ac:dyDescent="0.2">
      <c r="A111" s="3">
        <v>110</v>
      </c>
      <c r="B111" s="3" t="s">
        <v>18</v>
      </c>
      <c r="C111" s="3">
        <v>1</v>
      </c>
      <c r="D111" s="3" t="s">
        <v>62</v>
      </c>
      <c r="E111" s="4" t="s">
        <v>523</v>
      </c>
      <c r="F111" s="2" t="s">
        <v>524</v>
      </c>
      <c r="G111" s="2" t="s">
        <v>525</v>
      </c>
      <c r="H111" s="2" t="s">
        <v>482</v>
      </c>
      <c r="I111" s="2" t="s">
        <v>526</v>
      </c>
      <c r="J111" s="6" t="s">
        <v>513</v>
      </c>
      <c r="K111" s="4" t="s">
        <v>527</v>
      </c>
      <c r="L111" s="3" t="s">
        <v>428</v>
      </c>
    </row>
    <row r="112" spans="1:12" x14ac:dyDescent="0.2">
      <c r="A112" s="3">
        <v>111</v>
      </c>
      <c r="B112" s="3" t="s">
        <v>18</v>
      </c>
      <c r="C112" s="3">
        <v>1</v>
      </c>
      <c r="D112" s="3" t="s">
        <v>62</v>
      </c>
      <c r="E112" s="4" t="s">
        <v>528</v>
      </c>
      <c r="F112" s="2" t="s">
        <v>529</v>
      </c>
      <c r="G112" s="2" t="s">
        <v>530</v>
      </c>
      <c r="H112" s="2" t="s">
        <v>531</v>
      </c>
      <c r="I112" s="2" t="s">
        <v>532</v>
      </c>
      <c r="J112" s="6" t="s">
        <v>533</v>
      </c>
      <c r="K112" s="4" t="s">
        <v>534</v>
      </c>
      <c r="L112" s="3" t="s">
        <v>428</v>
      </c>
    </row>
    <row r="113" spans="1:12" x14ac:dyDescent="0.2">
      <c r="A113" s="3">
        <v>112</v>
      </c>
      <c r="B113" s="3" t="s">
        <v>18</v>
      </c>
      <c r="C113" s="3">
        <v>1</v>
      </c>
      <c r="D113" s="3" t="s">
        <v>62</v>
      </c>
      <c r="E113" s="4" t="s">
        <v>535</v>
      </c>
      <c r="F113" s="2" t="s">
        <v>536</v>
      </c>
      <c r="G113" s="2" t="s">
        <v>537</v>
      </c>
      <c r="H113" s="2" t="s">
        <v>538</v>
      </c>
      <c r="I113" s="2" t="s">
        <v>539</v>
      </c>
      <c r="J113" s="6" t="s">
        <v>540</v>
      </c>
      <c r="K113" s="6" t="s">
        <v>541</v>
      </c>
      <c r="L113" s="3" t="s">
        <v>428</v>
      </c>
    </row>
    <row r="114" spans="1:12" x14ac:dyDescent="0.2">
      <c r="A114" s="3">
        <v>113</v>
      </c>
      <c r="B114" s="3" t="s">
        <v>18</v>
      </c>
      <c r="C114" s="3">
        <v>1</v>
      </c>
      <c r="D114" s="3" t="s">
        <v>62</v>
      </c>
      <c r="E114" s="4" t="s">
        <v>542</v>
      </c>
      <c r="F114" s="2" t="s">
        <v>543</v>
      </c>
      <c r="G114" s="2" t="s">
        <v>544</v>
      </c>
      <c r="H114" s="2" t="s">
        <v>545</v>
      </c>
      <c r="I114" s="2" t="s">
        <v>546</v>
      </c>
      <c r="J114" s="6" t="s">
        <v>547</v>
      </c>
      <c r="K114" s="4" t="s">
        <v>548</v>
      </c>
      <c r="L114" s="3" t="s">
        <v>428</v>
      </c>
    </row>
    <row r="115" spans="1:12" x14ac:dyDescent="0.2">
      <c r="A115" s="3">
        <v>114</v>
      </c>
      <c r="B115" s="3" t="s">
        <v>18</v>
      </c>
      <c r="C115" s="3">
        <v>1</v>
      </c>
      <c r="D115" s="3" t="s">
        <v>6</v>
      </c>
      <c r="E115" s="4" t="s">
        <v>549</v>
      </c>
      <c r="J115" s="6" t="s">
        <v>453</v>
      </c>
      <c r="K115" s="4" t="s">
        <v>550</v>
      </c>
      <c r="L115" s="3" t="s">
        <v>428</v>
      </c>
    </row>
    <row r="116" spans="1:12" x14ac:dyDescent="0.2">
      <c r="A116" s="3">
        <v>115</v>
      </c>
      <c r="B116" s="3" t="s">
        <v>18</v>
      </c>
      <c r="C116" s="3">
        <v>1</v>
      </c>
      <c r="D116" s="3" t="s">
        <v>62</v>
      </c>
      <c r="E116" s="4" t="s">
        <v>551</v>
      </c>
      <c r="F116" s="2" t="s">
        <v>552</v>
      </c>
      <c r="G116" s="2" t="s">
        <v>553</v>
      </c>
      <c r="H116" s="2" t="s">
        <v>554</v>
      </c>
      <c r="I116" s="2" t="s">
        <v>555</v>
      </c>
      <c r="J116" s="6" t="s">
        <v>556</v>
      </c>
      <c r="K116" s="4" t="s">
        <v>557</v>
      </c>
      <c r="L116" s="3" t="s">
        <v>428</v>
      </c>
    </row>
    <row r="117" spans="1:12" x14ac:dyDescent="0.2">
      <c r="A117" s="3">
        <v>116</v>
      </c>
      <c r="B117" s="3" t="s">
        <v>18</v>
      </c>
      <c r="C117" s="3">
        <v>2</v>
      </c>
      <c r="D117" s="3" t="s">
        <v>8</v>
      </c>
      <c r="E117" s="4" t="s">
        <v>558</v>
      </c>
      <c r="F117" s="2" t="s">
        <v>559</v>
      </c>
      <c r="G117" s="2" t="s">
        <v>560</v>
      </c>
      <c r="H117" s="2" t="s">
        <v>561</v>
      </c>
      <c r="I117" s="2" t="s">
        <v>562</v>
      </c>
      <c r="J117" s="6" t="s">
        <v>521</v>
      </c>
      <c r="K117" s="6" t="s">
        <v>563</v>
      </c>
      <c r="L117" s="3" t="s">
        <v>428</v>
      </c>
    </row>
    <row r="118" spans="1:12" x14ac:dyDescent="0.2">
      <c r="A118" s="3">
        <v>117</v>
      </c>
      <c r="B118" s="3" t="s">
        <v>18</v>
      </c>
      <c r="C118" s="3">
        <v>2</v>
      </c>
      <c r="D118" s="3" t="s">
        <v>8</v>
      </c>
      <c r="E118" s="4" t="s">
        <v>564</v>
      </c>
      <c r="F118" s="2">
        <v>513</v>
      </c>
      <c r="G118" s="2">
        <v>512.79999999999995</v>
      </c>
      <c r="H118" s="2">
        <v>512</v>
      </c>
      <c r="I118" s="2">
        <v>511.8</v>
      </c>
      <c r="J118" s="6" t="s">
        <v>565</v>
      </c>
      <c r="K118" s="4" t="s">
        <v>566</v>
      </c>
      <c r="L118" s="3" t="s">
        <v>428</v>
      </c>
    </row>
    <row r="119" spans="1:12" x14ac:dyDescent="0.2">
      <c r="A119" s="3">
        <v>118</v>
      </c>
      <c r="B119" s="3" t="s">
        <v>18</v>
      </c>
      <c r="C119" s="3">
        <v>2</v>
      </c>
      <c r="D119" s="3" t="s">
        <v>8</v>
      </c>
      <c r="E119" s="4" t="s">
        <v>567</v>
      </c>
      <c r="F119" s="2">
        <v>210</v>
      </c>
      <c r="G119" s="2">
        <v>233.33</v>
      </c>
      <c r="H119" s="2">
        <v>243.6</v>
      </c>
      <c r="I119" s="2">
        <v>231</v>
      </c>
      <c r="J119" s="6" t="s">
        <v>471</v>
      </c>
      <c r="K119" s="4" t="s">
        <v>568</v>
      </c>
      <c r="L119" s="3" t="s">
        <v>428</v>
      </c>
    </row>
    <row r="120" spans="1:12" x14ac:dyDescent="0.2">
      <c r="A120" s="3">
        <v>119</v>
      </c>
      <c r="B120" s="3" t="s">
        <v>18</v>
      </c>
      <c r="C120" s="3">
        <v>2</v>
      </c>
      <c r="D120" s="3" t="s">
        <v>8</v>
      </c>
      <c r="E120" s="4" t="s">
        <v>569</v>
      </c>
      <c r="F120" s="2">
        <v>180</v>
      </c>
      <c r="G120" s="2">
        <v>200</v>
      </c>
      <c r="H120" s="2">
        <v>181.6</v>
      </c>
      <c r="I120" s="2">
        <v>198</v>
      </c>
      <c r="J120" s="6" t="s">
        <v>570</v>
      </c>
      <c r="K120" s="4" t="s">
        <v>571</v>
      </c>
      <c r="L120" s="3" t="s">
        <v>428</v>
      </c>
    </row>
    <row r="121" spans="1:12" x14ac:dyDescent="0.2">
      <c r="A121" s="3">
        <v>120</v>
      </c>
      <c r="B121" s="3" t="s">
        <v>18</v>
      </c>
      <c r="C121" s="3">
        <v>2</v>
      </c>
      <c r="D121" s="3" t="s">
        <v>62</v>
      </c>
      <c r="E121" s="4" t="s">
        <v>572</v>
      </c>
      <c r="F121" s="2" t="s">
        <v>573</v>
      </c>
      <c r="G121" s="2" t="s">
        <v>574</v>
      </c>
      <c r="H121" s="2" t="s">
        <v>575</v>
      </c>
      <c r="I121" s="2" t="s">
        <v>576</v>
      </c>
      <c r="J121" s="6" t="s">
        <v>577</v>
      </c>
      <c r="K121" s="6" t="s">
        <v>578</v>
      </c>
      <c r="L121" s="3" t="s">
        <v>428</v>
      </c>
    </row>
    <row r="122" spans="1:12" x14ac:dyDescent="0.2">
      <c r="A122" s="3">
        <v>121</v>
      </c>
      <c r="B122" s="3" t="s">
        <v>18</v>
      </c>
      <c r="C122" s="3">
        <v>2</v>
      </c>
      <c r="D122" s="3" t="s">
        <v>62</v>
      </c>
      <c r="E122" s="4" t="s">
        <v>579</v>
      </c>
      <c r="F122" s="2" t="s">
        <v>580</v>
      </c>
      <c r="G122" s="2" t="s">
        <v>581</v>
      </c>
      <c r="H122" s="2" t="s">
        <v>582</v>
      </c>
      <c r="I122" s="2" t="s">
        <v>583</v>
      </c>
      <c r="J122" s="6" t="s">
        <v>585</v>
      </c>
      <c r="K122" s="2" t="s">
        <v>584</v>
      </c>
      <c r="L122" s="3" t="s">
        <v>428</v>
      </c>
    </row>
    <row r="123" spans="1:12" x14ac:dyDescent="0.2">
      <c r="A123" s="3">
        <v>122</v>
      </c>
      <c r="B123" s="3" t="s">
        <v>18</v>
      </c>
      <c r="C123" s="3">
        <v>2</v>
      </c>
      <c r="D123" s="3" t="s">
        <v>6</v>
      </c>
      <c r="E123" s="4" t="s">
        <v>586</v>
      </c>
      <c r="J123" s="6" t="s">
        <v>155</v>
      </c>
      <c r="K123" s="4" t="s">
        <v>587</v>
      </c>
      <c r="L123" s="3" t="s">
        <v>428</v>
      </c>
    </row>
    <row r="124" spans="1:12" x14ac:dyDescent="0.2">
      <c r="A124" s="3">
        <v>123</v>
      </c>
      <c r="B124" s="3" t="s">
        <v>18</v>
      </c>
      <c r="C124" s="3">
        <v>2</v>
      </c>
      <c r="D124" s="3" t="s">
        <v>6</v>
      </c>
      <c r="E124" s="4" t="s">
        <v>588</v>
      </c>
      <c r="J124" s="6" t="s">
        <v>155</v>
      </c>
      <c r="K124" s="4" t="s">
        <v>589</v>
      </c>
      <c r="L124" s="3" t="s">
        <v>428</v>
      </c>
    </row>
    <row r="125" spans="1:12" x14ac:dyDescent="0.2">
      <c r="A125" s="3">
        <v>124</v>
      </c>
      <c r="B125" s="3" t="s">
        <v>18</v>
      </c>
      <c r="C125" s="3">
        <v>2</v>
      </c>
      <c r="D125" s="3" t="s">
        <v>8</v>
      </c>
      <c r="E125" s="4" t="s">
        <v>590</v>
      </c>
      <c r="F125" s="2">
        <v>100</v>
      </c>
      <c r="G125" s="2">
        <v>95</v>
      </c>
      <c r="H125" s="2">
        <v>113</v>
      </c>
      <c r="I125" s="2">
        <v>107.35</v>
      </c>
      <c r="J125" s="6" t="s">
        <v>591</v>
      </c>
      <c r="K125" s="4" t="s">
        <v>592</v>
      </c>
      <c r="L125" s="3" t="s">
        <v>428</v>
      </c>
    </row>
    <row r="126" spans="1:12" x14ac:dyDescent="0.2">
      <c r="A126" s="3">
        <v>125</v>
      </c>
      <c r="B126" s="3" t="s">
        <v>18</v>
      </c>
      <c r="C126" s="3">
        <v>2</v>
      </c>
      <c r="D126" s="3" t="s">
        <v>8</v>
      </c>
      <c r="E126" s="4" t="s">
        <v>593</v>
      </c>
      <c r="F126" s="2">
        <v>516</v>
      </c>
      <c r="G126" s="2">
        <v>457.5</v>
      </c>
      <c r="H126" s="2">
        <v>450</v>
      </c>
      <c r="I126" s="2">
        <v>508.5</v>
      </c>
      <c r="J126" s="6" t="s">
        <v>594</v>
      </c>
      <c r="K126" s="4" t="s">
        <v>595</v>
      </c>
      <c r="L126" s="3" t="s">
        <v>428</v>
      </c>
    </row>
    <row r="127" spans="1:12" x14ac:dyDescent="0.2">
      <c r="A127" s="3">
        <v>126</v>
      </c>
      <c r="B127" s="3" t="s">
        <v>18</v>
      </c>
      <c r="C127" s="3">
        <v>2</v>
      </c>
      <c r="D127" s="3" t="s">
        <v>62</v>
      </c>
      <c r="E127" s="4" t="s">
        <v>596</v>
      </c>
      <c r="F127" s="2" t="s">
        <v>597</v>
      </c>
      <c r="G127" s="2" t="s">
        <v>598</v>
      </c>
      <c r="H127" s="2" t="s">
        <v>599</v>
      </c>
      <c r="I127" s="2" t="s">
        <v>600</v>
      </c>
      <c r="J127" s="6" t="s">
        <v>601</v>
      </c>
      <c r="K127" s="4" t="s">
        <v>602</v>
      </c>
      <c r="L127" s="3" t="s">
        <v>428</v>
      </c>
    </row>
    <row r="128" spans="1:12" x14ac:dyDescent="0.2">
      <c r="A128" s="3">
        <v>127</v>
      </c>
      <c r="B128" s="3" t="s">
        <v>18</v>
      </c>
      <c r="C128" s="3">
        <v>2</v>
      </c>
      <c r="D128" s="3" t="s">
        <v>8</v>
      </c>
      <c r="E128" s="4" t="s">
        <v>603</v>
      </c>
      <c r="F128" s="2">
        <v>252</v>
      </c>
      <c r="G128" s="2">
        <v>253.56</v>
      </c>
      <c r="H128" s="2">
        <v>280</v>
      </c>
      <c r="I128" s="2">
        <v>281.56</v>
      </c>
      <c r="J128" s="6" t="s">
        <v>450</v>
      </c>
      <c r="K128" s="4" t="s">
        <v>604</v>
      </c>
      <c r="L128" s="3" t="s">
        <v>428</v>
      </c>
    </row>
    <row r="129" spans="1:12" x14ac:dyDescent="0.2">
      <c r="A129" s="3">
        <v>128</v>
      </c>
      <c r="B129" s="3" t="s">
        <v>18</v>
      </c>
      <c r="C129" s="3">
        <v>2</v>
      </c>
      <c r="D129" s="3" t="s">
        <v>62</v>
      </c>
      <c r="E129" s="4" t="s">
        <v>605</v>
      </c>
      <c r="F129" s="2" t="s">
        <v>606</v>
      </c>
      <c r="G129" s="2" t="s">
        <v>607</v>
      </c>
      <c r="H129" s="2" t="s">
        <v>608</v>
      </c>
      <c r="I129" s="2" t="s">
        <v>609</v>
      </c>
      <c r="J129" s="6" t="s">
        <v>610</v>
      </c>
      <c r="K129" s="6" t="s">
        <v>611</v>
      </c>
      <c r="L129" s="3" t="s">
        <v>428</v>
      </c>
    </row>
    <row r="130" spans="1:12" x14ac:dyDescent="0.2">
      <c r="A130" s="3">
        <v>129</v>
      </c>
      <c r="B130" s="3" t="s">
        <v>18</v>
      </c>
      <c r="C130" s="3">
        <v>2</v>
      </c>
      <c r="D130" s="3" t="s">
        <v>6</v>
      </c>
      <c r="E130" s="4" t="s">
        <v>612</v>
      </c>
      <c r="J130" s="6" t="s">
        <v>453</v>
      </c>
      <c r="K130" s="4" t="s">
        <v>613</v>
      </c>
      <c r="L130" s="3" t="s">
        <v>428</v>
      </c>
    </row>
    <row r="131" spans="1:12" x14ac:dyDescent="0.2">
      <c r="A131" s="3">
        <v>130</v>
      </c>
      <c r="B131" s="3" t="s">
        <v>18</v>
      </c>
      <c r="C131" s="3">
        <v>2</v>
      </c>
      <c r="D131" s="3" t="s">
        <v>8</v>
      </c>
      <c r="E131" s="4" t="s">
        <v>614</v>
      </c>
      <c r="F131" s="2">
        <v>499.8</v>
      </c>
      <c r="G131" s="2">
        <v>563.5</v>
      </c>
      <c r="H131" s="2">
        <v>494.7</v>
      </c>
      <c r="I131" s="2">
        <v>490</v>
      </c>
      <c r="J131" s="6" t="s">
        <v>615</v>
      </c>
      <c r="K131" s="4" t="s">
        <v>616</v>
      </c>
      <c r="L131" s="3" t="s">
        <v>428</v>
      </c>
    </row>
    <row r="132" spans="1:12" x14ac:dyDescent="0.2">
      <c r="A132" s="3">
        <v>131</v>
      </c>
      <c r="B132" s="3" t="s">
        <v>18</v>
      </c>
      <c r="C132" s="3">
        <v>2</v>
      </c>
      <c r="D132" s="3" t="s">
        <v>8</v>
      </c>
      <c r="E132" s="4" t="s">
        <v>617</v>
      </c>
      <c r="F132" s="2" t="s">
        <v>618</v>
      </c>
      <c r="G132" s="2" t="s">
        <v>619</v>
      </c>
      <c r="H132" s="2" t="s">
        <v>620</v>
      </c>
      <c r="I132" s="2" t="s">
        <v>621</v>
      </c>
      <c r="J132" s="6" t="s">
        <v>468</v>
      </c>
      <c r="K132" s="6" t="s">
        <v>622</v>
      </c>
      <c r="L132" s="3" t="s">
        <v>428</v>
      </c>
    </row>
    <row r="133" spans="1:12" x14ac:dyDescent="0.2">
      <c r="A133" s="3">
        <v>132</v>
      </c>
      <c r="B133" s="3" t="s">
        <v>18</v>
      </c>
      <c r="C133" s="3">
        <v>2</v>
      </c>
      <c r="D133" s="3" t="s">
        <v>62</v>
      </c>
      <c r="E133" s="4" t="s">
        <v>623</v>
      </c>
      <c r="F133" s="2" t="s">
        <v>624</v>
      </c>
      <c r="G133" s="2" t="s">
        <v>625</v>
      </c>
      <c r="H133" s="2" t="s">
        <v>626</v>
      </c>
      <c r="I133" s="2" t="s">
        <v>627</v>
      </c>
      <c r="J133" s="6" t="s">
        <v>628</v>
      </c>
      <c r="K133" s="6" t="s">
        <v>629</v>
      </c>
      <c r="L133" s="3" t="s">
        <v>428</v>
      </c>
    </row>
    <row r="134" spans="1:12" x14ac:dyDescent="0.2">
      <c r="A134" s="3">
        <v>133</v>
      </c>
      <c r="B134" s="3" t="s">
        <v>18</v>
      </c>
      <c r="C134" s="3">
        <v>2</v>
      </c>
      <c r="D134" s="3" t="s">
        <v>62</v>
      </c>
      <c r="E134" s="4" t="s">
        <v>630</v>
      </c>
      <c r="F134" s="2" t="s">
        <v>631</v>
      </c>
      <c r="G134" s="2" t="s">
        <v>632</v>
      </c>
      <c r="H134" s="2" t="s">
        <v>633</v>
      </c>
      <c r="I134" s="2" t="s">
        <v>634</v>
      </c>
      <c r="J134" s="6" t="s">
        <v>577</v>
      </c>
      <c r="K134" s="6" t="s">
        <v>635</v>
      </c>
      <c r="L134" s="3" t="s">
        <v>428</v>
      </c>
    </row>
    <row r="135" spans="1:12" x14ac:dyDescent="0.2">
      <c r="A135" s="3">
        <v>134</v>
      </c>
      <c r="B135" s="3" t="s">
        <v>18</v>
      </c>
      <c r="C135" s="3">
        <v>2</v>
      </c>
      <c r="D135" s="3" t="s">
        <v>8</v>
      </c>
      <c r="E135" s="4" t="s">
        <v>636</v>
      </c>
      <c r="F135" s="2" t="s">
        <v>637</v>
      </c>
      <c r="G135" s="2" t="s">
        <v>638</v>
      </c>
      <c r="H135" s="2" t="s">
        <v>639</v>
      </c>
      <c r="I135" s="2" t="s">
        <v>640</v>
      </c>
      <c r="J135" s="6" t="s">
        <v>591</v>
      </c>
      <c r="K135" s="4" t="s">
        <v>641</v>
      </c>
      <c r="L135" s="3" t="s">
        <v>428</v>
      </c>
    </row>
    <row r="136" spans="1:12" x14ac:dyDescent="0.2">
      <c r="A136" s="3">
        <v>135</v>
      </c>
      <c r="B136" s="3" t="s">
        <v>18</v>
      </c>
      <c r="C136" s="3">
        <v>2</v>
      </c>
      <c r="D136" s="3" t="s">
        <v>62</v>
      </c>
      <c r="E136" s="4" t="s">
        <v>642</v>
      </c>
      <c r="F136" s="2" t="s">
        <v>643</v>
      </c>
      <c r="G136" s="2" t="s">
        <v>644</v>
      </c>
      <c r="H136" s="2" t="s">
        <v>645</v>
      </c>
      <c r="I136" s="2" t="s">
        <v>646</v>
      </c>
      <c r="J136" s="6" t="s">
        <v>647</v>
      </c>
      <c r="K136" s="6" t="s">
        <v>648</v>
      </c>
      <c r="L136" s="3" t="s">
        <v>428</v>
      </c>
    </row>
    <row r="137" spans="1:12" x14ac:dyDescent="0.2">
      <c r="A137" s="3">
        <v>136</v>
      </c>
      <c r="B137" s="3" t="s">
        <v>18</v>
      </c>
      <c r="C137" s="3">
        <v>2</v>
      </c>
      <c r="D137" s="3" t="s">
        <v>62</v>
      </c>
      <c r="E137" s="4" t="s">
        <v>649</v>
      </c>
      <c r="F137" s="2" t="s">
        <v>650</v>
      </c>
      <c r="G137" s="2" t="s">
        <v>651</v>
      </c>
      <c r="H137" s="2" t="s">
        <v>652</v>
      </c>
      <c r="I137" s="2" t="s">
        <v>653</v>
      </c>
      <c r="J137" s="6" t="s">
        <v>577</v>
      </c>
      <c r="K137" s="6" t="s">
        <v>654</v>
      </c>
      <c r="L137" s="3" t="s">
        <v>428</v>
      </c>
    </row>
    <row r="138" spans="1:12" x14ac:dyDescent="0.2">
      <c r="A138" s="3">
        <v>137</v>
      </c>
      <c r="B138" s="3" t="s">
        <v>18</v>
      </c>
      <c r="C138" s="3">
        <v>2</v>
      </c>
      <c r="D138" s="3" t="s">
        <v>62</v>
      </c>
      <c r="E138" s="4" t="s">
        <v>655</v>
      </c>
      <c r="F138" s="2" t="s">
        <v>656</v>
      </c>
      <c r="G138" s="2" t="s">
        <v>657</v>
      </c>
      <c r="H138" s="2" t="s">
        <v>658</v>
      </c>
      <c r="I138" s="2" t="s">
        <v>659</v>
      </c>
      <c r="J138" s="6" t="s">
        <v>660</v>
      </c>
      <c r="K138" s="6" t="s">
        <v>661</v>
      </c>
      <c r="L138" s="3" t="s">
        <v>428</v>
      </c>
    </row>
    <row r="139" spans="1:12" x14ac:dyDescent="0.2">
      <c r="A139" s="3">
        <v>138</v>
      </c>
      <c r="B139" s="3" t="s">
        <v>18</v>
      </c>
      <c r="C139" s="3">
        <v>2</v>
      </c>
      <c r="D139" s="3" t="s">
        <v>6</v>
      </c>
      <c r="E139" s="4" t="s">
        <v>662</v>
      </c>
      <c r="J139" s="6" t="s">
        <v>453</v>
      </c>
      <c r="K139" s="6" t="s">
        <v>663</v>
      </c>
      <c r="L139" s="3" t="s">
        <v>428</v>
      </c>
    </row>
    <row r="140" spans="1:12" x14ac:dyDescent="0.2">
      <c r="A140" s="3">
        <v>139</v>
      </c>
      <c r="B140" s="3" t="s">
        <v>18</v>
      </c>
      <c r="C140" s="3">
        <v>2</v>
      </c>
      <c r="D140" s="3" t="s">
        <v>8</v>
      </c>
      <c r="E140" s="4" t="s">
        <v>664</v>
      </c>
      <c r="F140" s="2">
        <v>354.5</v>
      </c>
      <c r="G140" s="2">
        <v>375.5</v>
      </c>
      <c r="H140" s="2">
        <v>275.5</v>
      </c>
      <c r="I140" s="2">
        <v>252.5</v>
      </c>
      <c r="J140" s="6" t="s">
        <v>665</v>
      </c>
      <c r="K140" s="6" t="s">
        <v>666</v>
      </c>
      <c r="L140" s="3" t="s">
        <v>428</v>
      </c>
    </row>
    <row r="141" spans="1:12" x14ac:dyDescent="0.2">
      <c r="A141" s="3">
        <v>140</v>
      </c>
      <c r="B141" s="3" t="s">
        <v>18</v>
      </c>
      <c r="C141" s="3">
        <v>2</v>
      </c>
      <c r="D141" s="3" t="s">
        <v>8</v>
      </c>
      <c r="E141" s="4" t="s">
        <v>667</v>
      </c>
      <c r="F141" s="2" t="s">
        <v>668</v>
      </c>
      <c r="G141" s="2" t="s">
        <v>669</v>
      </c>
      <c r="H141" s="2" t="s">
        <v>670</v>
      </c>
      <c r="I141" s="2" t="s">
        <v>671</v>
      </c>
      <c r="J141" s="6" t="s">
        <v>672</v>
      </c>
      <c r="K141" s="4" t="s">
        <v>673</v>
      </c>
      <c r="L141" s="3" t="s">
        <v>428</v>
      </c>
    </row>
    <row r="142" spans="1:12" x14ac:dyDescent="0.2">
      <c r="A142" s="3">
        <v>141</v>
      </c>
      <c r="B142" s="3" t="s">
        <v>18</v>
      </c>
      <c r="C142" s="3">
        <v>2</v>
      </c>
      <c r="D142" s="3" t="s">
        <v>8</v>
      </c>
      <c r="E142" s="4" t="s">
        <v>674</v>
      </c>
      <c r="F142" s="2">
        <v>-5</v>
      </c>
      <c r="G142" s="2">
        <v>5</v>
      </c>
      <c r="H142" s="2">
        <v>-14</v>
      </c>
      <c r="I142" s="2">
        <v>15</v>
      </c>
      <c r="J142" s="6" t="s">
        <v>591</v>
      </c>
      <c r="K142" s="4" t="s">
        <v>675</v>
      </c>
      <c r="L142" s="3" t="s">
        <v>428</v>
      </c>
    </row>
    <row r="143" spans="1:12" x14ac:dyDescent="0.2">
      <c r="A143" s="3">
        <v>142</v>
      </c>
      <c r="B143" s="3" t="s">
        <v>18</v>
      </c>
      <c r="C143" s="3">
        <v>2</v>
      </c>
      <c r="D143" s="3" t="s">
        <v>62</v>
      </c>
      <c r="E143" s="4" t="s">
        <v>676</v>
      </c>
      <c r="F143" s="2" t="s">
        <v>677</v>
      </c>
      <c r="G143" s="2" t="s">
        <v>678</v>
      </c>
      <c r="H143" s="2" t="s">
        <v>679</v>
      </c>
      <c r="I143" s="2" t="s">
        <v>680</v>
      </c>
      <c r="J143" s="6" t="s">
        <v>681</v>
      </c>
      <c r="K143" s="6" t="s">
        <v>682</v>
      </c>
      <c r="L143" s="3" t="s">
        <v>428</v>
      </c>
    </row>
    <row r="144" spans="1:12" x14ac:dyDescent="0.2">
      <c r="A144" s="3">
        <v>143</v>
      </c>
      <c r="B144" s="3" t="s">
        <v>18</v>
      </c>
      <c r="C144" s="3">
        <v>2</v>
      </c>
      <c r="D144" s="3" t="s">
        <v>62</v>
      </c>
      <c r="E144" s="4" t="s">
        <v>683</v>
      </c>
      <c r="F144" s="2" t="s">
        <v>684</v>
      </c>
      <c r="G144" s="2" t="s">
        <v>685</v>
      </c>
      <c r="H144" s="2" t="s">
        <v>686</v>
      </c>
      <c r="I144" s="2" t="s">
        <v>687</v>
      </c>
      <c r="J144" s="6" t="s">
        <v>689</v>
      </c>
      <c r="K144" s="6" t="s">
        <v>688</v>
      </c>
      <c r="L144" s="3" t="s">
        <v>428</v>
      </c>
    </row>
    <row r="145" spans="1:12" x14ac:dyDescent="0.2">
      <c r="A145" s="3">
        <v>144</v>
      </c>
      <c r="B145" s="3" t="s">
        <v>18</v>
      </c>
      <c r="C145" s="3">
        <v>2</v>
      </c>
      <c r="D145" s="3" t="s">
        <v>8</v>
      </c>
      <c r="E145" s="4" t="s">
        <v>690</v>
      </c>
      <c r="F145" s="2">
        <v>80</v>
      </c>
      <c r="G145" s="2">
        <v>280</v>
      </c>
      <c r="H145" s="2">
        <v>140</v>
      </c>
      <c r="I145" s="2">
        <v>180</v>
      </c>
      <c r="J145" s="6" t="s">
        <v>691</v>
      </c>
      <c r="K145" s="6" t="s">
        <v>692</v>
      </c>
      <c r="L145" s="3" t="s">
        <v>428</v>
      </c>
    </row>
    <row r="146" spans="1:12" x14ac:dyDescent="0.2">
      <c r="A146" s="3">
        <v>145</v>
      </c>
      <c r="B146" s="3" t="s">
        <v>18</v>
      </c>
      <c r="C146" s="3">
        <v>2</v>
      </c>
      <c r="D146" s="3" t="s">
        <v>8</v>
      </c>
      <c r="E146" s="4" t="s">
        <v>693</v>
      </c>
      <c r="F146" s="2">
        <v>2200</v>
      </c>
      <c r="G146" s="2">
        <v>2400</v>
      </c>
      <c r="H146" s="2">
        <v>2590</v>
      </c>
      <c r="I146" s="2">
        <v>2790</v>
      </c>
      <c r="J146" s="6" t="s">
        <v>694</v>
      </c>
      <c r="K146" s="6" t="s">
        <v>695</v>
      </c>
      <c r="L146" s="3" t="s">
        <v>428</v>
      </c>
    </row>
    <row r="147" spans="1:12" x14ac:dyDescent="0.2">
      <c r="A147" s="3">
        <v>146</v>
      </c>
      <c r="B147" s="3" t="s">
        <v>18</v>
      </c>
      <c r="C147" s="3">
        <v>2</v>
      </c>
      <c r="D147" s="3" t="s">
        <v>8</v>
      </c>
      <c r="E147" s="4" t="s">
        <v>696</v>
      </c>
      <c r="F147" s="2">
        <v>5000</v>
      </c>
      <c r="G147" s="2">
        <v>4900</v>
      </c>
      <c r="H147" s="2">
        <v>7000</v>
      </c>
      <c r="I147" s="2">
        <v>5600</v>
      </c>
      <c r="J147" s="6" t="s">
        <v>594</v>
      </c>
      <c r="K147" s="6" t="s">
        <v>697</v>
      </c>
      <c r="L147" s="3" t="s">
        <v>428</v>
      </c>
    </row>
    <row r="148" spans="1:12" x14ac:dyDescent="0.2">
      <c r="A148" s="3">
        <v>147</v>
      </c>
      <c r="B148" s="3" t="s">
        <v>18</v>
      </c>
      <c r="C148" s="3">
        <v>2</v>
      </c>
      <c r="D148" s="3" t="s">
        <v>62</v>
      </c>
      <c r="E148" s="4" t="s">
        <v>698</v>
      </c>
      <c r="F148" s="2" t="s">
        <v>699</v>
      </c>
      <c r="G148" s="2" t="s">
        <v>700</v>
      </c>
      <c r="H148" s="2" t="s">
        <v>701</v>
      </c>
      <c r="I148" s="2" t="s">
        <v>702</v>
      </c>
      <c r="J148" s="6" t="s">
        <v>703</v>
      </c>
      <c r="K148" s="6" t="s">
        <v>704</v>
      </c>
      <c r="L148" s="3" t="s">
        <v>428</v>
      </c>
    </row>
    <row r="149" spans="1:12" x14ac:dyDescent="0.2">
      <c r="A149" s="3">
        <v>148</v>
      </c>
      <c r="B149" s="3" t="s">
        <v>18</v>
      </c>
      <c r="C149" s="3">
        <v>3</v>
      </c>
      <c r="D149" s="3" t="s">
        <v>8</v>
      </c>
      <c r="E149" s="4" t="s">
        <v>705</v>
      </c>
      <c r="F149" s="2">
        <v>430</v>
      </c>
      <c r="G149" s="2">
        <v>450</v>
      </c>
      <c r="H149" s="2">
        <v>463</v>
      </c>
      <c r="I149" s="2">
        <v>713</v>
      </c>
      <c r="J149" s="6" t="s">
        <v>591</v>
      </c>
      <c r="K149" s="6" t="s">
        <v>706</v>
      </c>
      <c r="L149" s="3" t="s">
        <v>428</v>
      </c>
    </row>
    <row r="150" spans="1:12" x14ac:dyDescent="0.2">
      <c r="A150" s="3">
        <v>149</v>
      </c>
      <c r="B150" s="3" t="s">
        <v>18</v>
      </c>
      <c r="C150" s="3">
        <v>3</v>
      </c>
      <c r="D150" s="3" t="s">
        <v>6</v>
      </c>
      <c r="E150" s="4" t="s">
        <v>707</v>
      </c>
      <c r="J150" s="6" t="s">
        <v>155</v>
      </c>
      <c r="K150" s="6" t="s">
        <v>708</v>
      </c>
      <c r="L150" s="3" t="s">
        <v>428</v>
      </c>
    </row>
    <row r="151" spans="1:12" x14ac:dyDescent="0.2">
      <c r="A151" s="3">
        <v>150</v>
      </c>
      <c r="B151" s="3" t="s">
        <v>18</v>
      </c>
      <c r="C151" s="3">
        <v>3</v>
      </c>
      <c r="D151" s="3" t="s">
        <v>62</v>
      </c>
      <c r="E151" s="4" t="s">
        <v>709</v>
      </c>
      <c r="F151" s="2" t="s">
        <v>710</v>
      </c>
      <c r="G151" s="2" t="s">
        <v>711</v>
      </c>
      <c r="H151" s="2" t="s">
        <v>712</v>
      </c>
      <c r="I151" s="2" t="s">
        <v>713</v>
      </c>
      <c r="J151" s="6" t="s">
        <v>714</v>
      </c>
      <c r="K151" s="4" t="s">
        <v>715</v>
      </c>
      <c r="L151" s="3" t="s">
        <v>428</v>
      </c>
    </row>
    <row r="152" spans="1:12" x14ac:dyDescent="0.2">
      <c r="A152" s="3">
        <v>151</v>
      </c>
      <c r="B152" s="3" t="s">
        <v>18</v>
      </c>
      <c r="C152" s="3">
        <v>3</v>
      </c>
      <c r="D152" s="3" t="s">
        <v>8</v>
      </c>
      <c r="E152" s="4" t="s">
        <v>716</v>
      </c>
      <c r="F152" s="2" t="s">
        <v>717</v>
      </c>
      <c r="G152" s="2" t="s">
        <v>718</v>
      </c>
      <c r="H152" s="2" t="s">
        <v>719</v>
      </c>
      <c r="I152" s="2" t="s">
        <v>720</v>
      </c>
      <c r="J152" s="6" t="s">
        <v>521</v>
      </c>
      <c r="K152" s="6" t="s">
        <v>721</v>
      </c>
      <c r="L152" s="3" t="s">
        <v>428</v>
      </c>
    </row>
    <row r="153" spans="1:12" x14ac:dyDescent="0.2">
      <c r="A153" s="3">
        <v>152</v>
      </c>
      <c r="B153" s="3" t="s">
        <v>18</v>
      </c>
      <c r="C153" s="3">
        <v>3</v>
      </c>
      <c r="D153" s="3" t="s">
        <v>62</v>
      </c>
      <c r="E153" s="4" t="s">
        <v>722</v>
      </c>
      <c r="F153" s="2" t="s">
        <v>723</v>
      </c>
      <c r="G153" s="2" t="s">
        <v>724</v>
      </c>
      <c r="H153" s="2" t="s">
        <v>725</v>
      </c>
      <c r="I153" s="2" t="s">
        <v>726</v>
      </c>
      <c r="J153" s="6" t="s">
        <v>727</v>
      </c>
      <c r="K153" s="6" t="s">
        <v>728</v>
      </c>
      <c r="L153" s="3" t="s">
        <v>428</v>
      </c>
    </row>
    <row r="154" spans="1:12" x14ac:dyDescent="0.2">
      <c r="A154" s="3">
        <v>153</v>
      </c>
      <c r="B154" s="3" t="s">
        <v>18</v>
      </c>
      <c r="C154" s="3">
        <v>3</v>
      </c>
      <c r="D154" s="3" t="s">
        <v>62</v>
      </c>
      <c r="E154" s="4" t="s">
        <v>729</v>
      </c>
      <c r="F154" s="2" t="s">
        <v>730</v>
      </c>
      <c r="G154" s="2" t="s">
        <v>731</v>
      </c>
      <c r="H154" s="2" t="s">
        <v>732</v>
      </c>
      <c r="I154" s="2" t="s">
        <v>733</v>
      </c>
      <c r="J154" s="6" t="s">
        <v>727</v>
      </c>
      <c r="K154" s="6" t="s">
        <v>734</v>
      </c>
      <c r="L154" s="3" t="s">
        <v>428</v>
      </c>
    </row>
    <row r="155" spans="1:12" x14ac:dyDescent="0.2">
      <c r="A155" s="3">
        <v>154</v>
      </c>
      <c r="B155" s="3" t="s">
        <v>18</v>
      </c>
      <c r="C155" s="3">
        <v>3</v>
      </c>
      <c r="D155" s="3" t="s">
        <v>62</v>
      </c>
      <c r="E155" s="4" t="s">
        <v>735</v>
      </c>
      <c r="F155" s="2" t="s">
        <v>736</v>
      </c>
      <c r="G155" s="2" t="s">
        <v>737</v>
      </c>
      <c r="H155" s="2" t="s">
        <v>738</v>
      </c>
      <c r="I155" s="2" t="s">
        <v>739</v>
      </c>
      <c r="J155" s="6" t="s">
        <v>577</v>
      </c>
      <c r="K155" s="6" t="s">
        <v>740</v>
      </c>
      <c r="L155" s="3" t="s">
        <v>428</v>
      </c>
    </row>
    <row r="156" spans="1:12" x14ac:dyDescent="0.2">
      <c r="A156" s="3">
        <v>155</v>
      </c>
      <c r="B156" s="3" t="s">
        <v>18</v>
      </c>
      <c r="C156" s="3">
        <v>3</v>
      </c>
      <c r="D156" s="3" t="s">
        <v>62</v>
      </c>
      <c r="E156" s="4" t="s">
        <v>741</v>
      </c>
      <c r="F156" s="2" t="s">
        <v>742</v>
      </c>
      <c r="G156" s="2" t="s">
        <v>743</v>
      </c>
      <c r="H156" s="2" t="s">
        <v>744</v>
      </c>
      <c r="I156" s="2" t="s">
        <v>745</v>
      </c>
      <c r="J156" s="6" t="s">
        <v>577</v>
      </c>
      <c r="K156" s="4" t="s">
        <v>746</v>
      </c>
      <c r="L156" s="3" t="s">
        <v>428</v>
      </c>
    </row>
    <row r="157" spans="1:12" x14ac:dyDescent="0.2">
      <c r="A157" s="3">
        <v>156</v>
      </c>
      <c r="B157" s="3" t="s">
        <v>18</v>
      </c>
      <c r="C157" s="3">
        <v>3</v>
      </c>
      <c r="D157" s="3" t="s">
        <v>62</v>
      </c>
      <c r="E157" s="4" t="s">
        <v>747</v>
      </c>
      <c r="F157" s="2" t="s">
        <v>748</v>
      </c>
      <c r="G157" s="2" t="s">
        <v>749</v>
      </c>
      <c r="H157" s="2" t="s">
        <v>750</v>
      </c>
      <c r="I157" s="2" t="s">
        <v>751</v>
      </c>
      <c r="J157" s="6" t="s">
        <v>752</v>
      </c>
      <c r="K157" s="6" t="s">
        <v>753</v>
      </c>
      <c r="L157" s="3" t="s">
        <v>428</v>
      </c>
    </row>
    <row r="158" spans="1:12" x14ac:dyDescent="0.2">
      <c r="A158" s="3">
        <v>157</v>
      </c>
      <c r="B158" s="3" t="s">
        <v>18</v>
      </c>
      <c r="C158" s="3">
        <v>3</v>
      </c>
      <c r="D158" s="3" t="s">
        <v>62</v>
      </c>
      <c r="E158" s="4" t="s">
        <v>754</v>
      </c>
      <c r="F158" s="2" t="s">
        <v>755</v>
      </c>
      <c r="G158" s="2" t="s">
        <v>756</v>
      </c>
      <c r="H158" s="2" t="s">
        <v>757</v>
      </c>
      <c r="I158" s="2" t="s">
        <v>758</v>
      </c>
      <c r="J158" s="6" t="s">
        <v>752</v>
      </c>
      <c r="K158" s="4" t="s">
        <v>759</v>
      </c>
      <c r="L158" s="3" t="s">
        <v>428</v>
      </c>
    </row>
    <row r="159" spans="1:12" x14ac:dyDescent="0.2">
      <c r="A159" s="3">
        <v>158</v>
      </c>
      <c r="B159" s="3" t="s">
        <v>18</v>
      </c>
      <c r="C159" s="3">
        <v>3</v>
      </c>
      <c r="D159" s="3" t="s">
        <v>62</v>
      </c>
      <c r="E159" s="4" t="s">
        <v>760</v>
      </c>
      <c r="F159" s="2" t="s">
        <v>761</v>
      </c>
      <c r="G159" s="2" t="s">
        <v>762</v>
      </c>
      <c r="H159" s="2" t="s">
        <v>763</v>
      </c>
      <c r="I159" s="2" t="s">
        <v>764</v>
      </c>
      <c r="J159" s="6" t="s">
        <v>765</v>
      </c>
      <c r="K159" s="6" t="s">
        <v>766</v>
      </c>
      <c r="L159" s="3" t="s">
        <v>428</v>
      </c>
    </row>
    <row r="160" spans="1:12" x14ac:dyDescent="0.2">
      <c r="A160" s="3">
        <v>159</v>
      </c>
      <c r="B160" s="3" t="s">
        <v>18</v>
      </c>
      <c r="C160" s="3">
        <v>3</v>
      </c>
      <c r="D160" s="3" t="s">
        <v>62</v>
      </c>
      <c r="E160" s="4" t="s">
        <v>767</v>
      </c>
      <c r="F160" s="2" t="s">
        <v>768</v>
      </c>
      <c r="G160" s="2" t="s">
        <v>769</v>
      </c>
      <c r="H160" s="2" t="s">
        <v>770</v>
      </c>
      <c r="I160" s="2" t="s">
        <v>771</v>
      </c>
      <c r="J160" s="6" t="s">
        <v>727</v>
      </c>
      <c r="K160" s="6" t="s">
        <v>772</v>
      </c>
      <c r="L160" s="3" t="s">
        <v>428</v>
      </c>
    </row>
    <row r="161" spans="1:12" x14ac:dyDescent="0.2">
      <c r="A161" s="3">
        <v>160</v>
      </c>
      <c r="B161" s="3" t="s">
        <v>18</v>
      </c>
      <c r="C161" s="3">
        <v>3</v>
      </c>
      <c r="D161" s="3" t="s">
        <v>62</v>
      </c>
      <c r="E161" s="4" t="s">
        <v>773</v>
      </c>
      <c r="F161" s="2" t="s">
        <v>774</v>
      </c>
      <c r="G161" s="2" t="s">
        <v>775</v>
      </c>
      <c r="H161" s="2" t="s">
        <v>776</v>
      </c>
      <c r="I161" s="2" t="s">
        <v>777</v>
      </c>
      <c r="J161" s="6" t="s">
        <v>778</v>
      </c>
      <c r="K161" s="6" t="s">
        <v>779</v>
      </c>
      <c r="L161" s="3" t="s">
        <v>428</v>
      </c>
    </row>
    <row r="162" spans="1:12" x14ac:dyDescent="0.2">
      <c r="A162" s="3">
        <v>161</v>
      </c>
      <c r="B162" s="3" t="s">
        <v>18</v>
      </c>
      <c r="C162" s="3">
        <v>3</v>
      </c>
      <c r="D162" s="3" t="s">
        <v>62</v>
      </c>
      <c r="E162" s="4" t="s">
        <v>780</v>
      </c>
      <c r="F162" s="2" t="s">
        <v>781</v>
      </c>
      <c r="G162" s="2" t="s">
        <v>782</v>
      </c>
      <c r="H162" s="2" t="s">
        <v>783</v>
      </c>
      <c r="I162" s="2" t="s">
        <v>784</v>
      </c>
      <c r="J162" s="6" t="s">
        <v>727</v>
      </c>
      <c r="K162" s="4" t="s">
        <v>785</v>
      </c>
      <c r="L162" s="3" t="s">
        <v>428</v>
      </c>
    </row>
    <row r="163" spans="1:12" x14ac:dyDescent="0.2">
      <c r="A163" s="3">
        <v>162</v>
      </c>
      <c r="B163" s="3" t="s">
        <v>18</v>
      </c>
      <c r="C163" s="3">
        <v>3</v>
      </c>
      <c r="D163" s="3" t="s">
        <v>8</v>
      </c>
      <c r="E163" s="4" t="s">
        <v>786</v>
      </c>
      <c r="F163" s="2">
        <v>6.35</v>
      </c>
      <c r="G163" s="2">
        <v>8.5</v>
      </c>
      <c r="H163" s="2">
        <v>8</v>
      </c>
      <c r="I163" s="2">
        <v>11.06</v>
      </c>
      <c r="J163" s="6" t="s">
        <v>450</v>
      </c>
      <c r="K163" s="4" t="s">
        <v>787</v>
      </c>
      <c r="L163" s="3" t="s">
        <v>428</v>
      </c>
    </row>
    <row r="164" spans="1:12" x14ac:dyDescent="0.2">
      <c r="A164" s="3">
        <v>163</v>
      </c>
      <c r="B164" s="3" t="s">
        <v>18</v>
      </c>
      <c r="C164" s="3">
        <v>3</v>
      </c>
      <c r="D164" s="3" t="s">
        <v>8</v>
      </c>
      <c r="E164" s="4" t="s">
        <v>788</v>
      </c>
      <c r="F164" s="2">
        <v>30.45</v>
      </c>
      <c r="G164" s="2">
        <v>31.65</v>
      </c>
      <c r="H164" s="2">
        <v>31.35</v>
      </c>
      <c r="I164" s="2">
        <v>31.45</v>
      </c>
      <c r="J164" s="6" t="s">
        <v>594</v>
      </c>
      <c r="K164" s="4" t="s">
        <v>789</v>
      </c>
      <c r="L164" s="3" t="s">
        <v>428</v>
      </c>
    </row>
    <row r="165" spans="1:12" x14ac:dyDescent="0.2">
      <c r="A165" s="3">
        <v>164</v>
      </c>
      <c r="B165" s="3" t="s">
        <v>18</v>
      </c>
      <c r="C165" s="3">
        <v>3</v>
      </c>
      <c r="D165" s="3" t="s">
        <v>8</v>
      </c>
      <c r="E165" s="4" t="s">
        <v>790</v>
      </c>
      <c r="F165" s="2">
        <v>115</v>
      </c>
      <c r="G165" s="2">
        <v>105</v>
      </c>
      <c r="H165" s="2">
        <v>89</v>
      </c>
      <c r="I165" s="2">
        <v>95</v>
      </c>
      <c r="J165" s="2" t="s">
        <v>797</v>
      </c>
      <c r="K165" s="4" t="s">
        <v>791</v>
      </c>
      <c r="L165" s="3" t="s">
        <v>428</v>
      </c>
    </row>
    <row r="166" spans="1:12" x14ac:dyDescent="0.2">
      <c r="A166" s="3">
        <v>165</v>
      </c>
      <c r="B166" s="3" t="s">
        <v>18</v>
      </c>
      <c r="C166" s="3">
        <v>3</v>
      </c>
      <c r="D166" s="3" t="s">
        <v>62</v>
      </c>
      <c r="E166" s="4" t="s">
        <v>792</v>
      </c>
      <c r="F166" s="2" t="s">
        <v>793</v>
      </c>
      <c r="G166" s="2" t="s">
        <v>794</v>
      </c>
      <c r="H166" s="2" t="s">
        <v>795</v>
      </c>
      <c r="I166" s="2" t="s">
        <v>796</v>
      </c>
      <c r="J166" s="2" t="s">
        <v>804</v>
      </c>
      <c r="K166" s="2" t="s">
        <v>798</v>
      </c>
      <c r="L166" s="3" t="s">
        <v>428</v>
      </c>
    </row>
    <row r="167" spans="1:12" x14ac:dyDescent="0.2">
      <c r="A167" s="3">
        <v>166</v>
      </c>
      <c r="B167" s="3" t="s">
        <v>18</v>
      </c>
      <c r="C167" s="3">
        <v>3</v>
      </c>
      <c r="D167" s="3" t="s">
        <v>62</v>
      </c>
      <c r="E167" s="4" t="s">
        <v>799</v>
      </c>
      <c r="F167" s="2" t="s">
        <v>800</v>
      </c>
      <c r="G167" s="2" t="s">
        <v>801</v>
      </c>
      <c r="H167" s="2" t="s">
        <v>802</v>
      </c>
      <c r="I167" s="2" t="s">
        <v>803</v>
      </c>
      <c r="J167" s="2" t="s">
        <v>540</v>
      </c>
      <c r="K167" s="4" t="s">
        <v>805</v>
      </c>
      <c r="L167" s="3" t="s">
        <v>428</v>
      </c>
    </row>
    <row r="168" spans="1:12" x14ac:dyDescent="0.2">
      <c r="A168" s="3">
        <v>167</v>
      </c>
      <c r="B168" s="3" t="s">
        <v>18</v>
      </c>
      <c r="C168" s="3">
        <v>3</v>
      </c>
      <c r="D168" s="3" t="s">
        <v>62</v>
      </c>
      <c r="E168" s="4" t="s">
        <v>806</v>
      </c>
      <c r="F168" s="2" t="s">
        <v>807</v>
      </c>
      <c r="G168" s="2" t="s">
        <v>808</v>
      </c>
      <c r="H168" s="2" t="s">
        <v>809</v>
      </c>
      <c r="I168" s="2" t="s">
        <v>810</v>
      </c>
      <c r="J168" s="2" t="s">
        <v>681</v>
      </c>
      <c r="K168" s="4" t="s">
        <v>811</v>
      </c>
      <c r="L168" s="3" t="s">
        <v>428</v>
      </c>
    </row>
    <row r="169" spans="1:12" x14ac:dyDescent="0.2">
      <c r="A169" s="3">
        <v>168</v>
      </c>
      <c r="B169" s="3" t="s">
        <v>18</v>
      </c>
      <c r="C169" s="3">
        <v>3</v>
      </c>
      <c r="D169" s="3" t="s">
        <v>62</v>
      </c>
      <c r="E169" s="4" t="s">
        <v>812</v>
      </c>
      <c r="F169" s="2" t="s">
        <v>813</v>
      </c>
      <c r="G169" s="2" t="s">
        <v>814</v>
      </c>
      <c r="H169" s="2" t="s">
        <v>815</v>
      </c>
      <c r="I169" s="2" t="s">
        <v>816</v>
      </c>
      <c r="J169" s="2" t="s">
        <v>817</v>
      </c>
      <c r="K169" s="4" t="s">
        <v>818</v>
      </c>
      <c r="L169" s="3" t="s">
        <v>428</v>
      </c>
    </row>
    <row r="170" spans="1:12" x14ac:dyDescent="0.2">
      <c r="A170" s="3">
        <v>169</v>
      </c>
      <c r="B170" s="3" t="s">
        <v>18</v>
      </c>
      <c r="C170" s="3">
        <v>3</v>
      </c>
      <c r="D170" s="3" t="s">
        <v>6</v>
      </c>
      <c r="E170" s="4" t="s">
        <v>819</v>
      </c>
      <c r="J170" s="2" t="s">
        <v>820</v>
      </c>
      <c r="K170" s="4" t="s">
        <v>821</v>
      </c>
      <c r="L170" s="3" t="s">
        <v>428</v>
      </c>
    </row>
    <row r="171" spans="1:12" x14ac:dyDescent="0.2">
      <c r="A171" s="3">
        <v>170</v>
      </c>
      <c r="B171" s="3" t="s">
        <v>18</v>
      </c>
      <c r="C171" s="3">
        <v>3</v>
      </c>
      <c r="D171" s="3" t="s">
        <v>8</v>
      </c>
      <c r="E171" s="4" t="s">
        <v>822</v>
      </c>
      <c r="F171" s="2" t="s">
        <v>823</v>
      </c>
      <c r="G171" s="2" t="s">
        <v>824</v>
      </c>
      <c r="H171" s="2" t="s">
        <v>825</v>
      </c>
      <c r="I171" s="2" t="s">
        <v>826</v>
      </c>
      <c r="J171" s="2" t="s">
        <v>827</v>
      </c>
      <c r="K171" s="4" t="s">
        <v>828</v>
      </c>
      <c r="L171" s="3" t="s">
        <v>428</v>
      </c>
    </row>
    <row r="172" spans="1:12" x14ac:dyDescent="0.2">
      <c r="A172" s="3">
        <v>171</v>
      </c>
      <c r="B172" s="3" t="s">
        <v>18</v>
      </c>
      <c r="C172" s="3">
        <v>4</v>
      </c>
      <c r="D172" s="3" t="s">
        <v>8</v>
      </c>
      <c r="E172" s="4" t="s">
        <v>829</v>
      </c>
      <c r="F172" s="2">
        <v>508</v>
      </c>
      <c r="G172" s="2">
        <v>514</v>
      </c>
      <c r="H172" s="2">
        <v>808</v>
      </c>
      <c r="I172" s="2">
        <v>814</v>
      </c>
      <c r="J172" s="2" t="s">
        <v>830</v>
      </c>
      <c r="K172" s="4" t="s">
        <v>831</v>
      </c>
      <c r="L172" s="3" t="s">
        <v>428</v>
      </c>
    </row>
    <row r="173" spans="1:12" x14ac:dyDescent="0.2">
      <c r="A173" s="3">
        <v>172</v>
      </c>
      <c r="B173" s="3" t="s">
        <v>18</v>
      </c>
      <c r="C173" s="3">
        <v>4</v>
      </c>
      <c r="D173" s="3" t="s">
        <v>8</v>
      </c>
      <c r="E173" s="4" t="s">
        <v>832</v>
      </c>
      <c r="F173" s="2" t="s">
        <v>833</v>
      </c>
      <c r="G173" s="2" t="s">
        <v>834</v>
      </c>
      <c r="H173" s="2" t="s">
        <v>835</v>
      </c>
      <c r="I173" s="2" t="s">
        <v>836</v>
      </c>
      <c r="J173" s="2" t="s">
        <v>837</v>
      </c>
      <c r="K173" s="4" t="s">
        <v>838</v>
      </c>
      <c r="L173" s="3" t="s">
        <v>428</v>
      </c>
    </row>
    <row r="174" spans="1:12" x14ac:dyDescent="0.2">
      <c r="A174" s="3">
        <v>173</v>
      </c>
      <c r="B174" s="3" t="s">
        <v>18</v>
      </c>
      <c r="C174" s="3">
        <v>4</v>
      </c>
      <c r="D174" s="3" t="s">
        <v>62</v>
      </c>
      <c r="E174" s="4" t="s">
        <v>839</v>
      </c>
      <c r="F174" s="2" t="s">
        <v>840</v>
      </c>
      <c r="G174" s="2" t="s">
        <v>841</v>
      </c>
      <c r="H174" s="2" t="s">
        <v>842</v>
      </c>
      <c r="I174" s="2" t="s">
        <v>843</v>
      </c>
      <c r="J174" s="2" t="s">
        <v>844</v>
      </c>
      <c r="K174" s="2" t="s">
        <v>845</v>
      </c>
      <c r="L174" s="3" t="s">
        <v>428</v>
      </c>
    </row>
    <row r="175" spans="1:12" x14ac:dyDescent="0.2">
      <c r="A175" s="3">
        <v>174</v>
      </c>
      <c r="B175" s="3" t="s">
        <v>18</v>
      </c>
      <c r="C175" s="3">
        <v>4</v>
      </c>
      <c r="D175" s="3" t="s">
        <v>62</v>
      </c>
      <c r="E175" s="4" t="s">
        <v>846</v>
      </c>
      <c r="F175" s="2" t="s">
        <v>847</v>
      </c>
      <c r="G175" s="2" t="s">
        <v>848</v>
      </c>
      <c r="H175" s="2" t="s">
        <v>849</v>
      </c>
      <c r="I175" s="2" t="s">
        <v>850</v>
      </c>
      <c r="J175" s="2" t="s">
        <v>851</v>
      </c>
      <c r="K175" s="2" t="s">
        <v>852</v>
      </c>
      <c r="L175" s="3" t="s">
        <v>428</v>
      </c>
    </row>
    <row r="176" spans="1:12" x14ac:dyDescent="0.2">
      <c r="A176" s="3">
        <v>175</v>
      </c>
      <c r="B176" s="3" t="s">
        <v>18</v>
      </c>
      <c r="C176" s="3">
        <v>4</v>
      </c>
      <c r="D176" s="3" t="s">
        <v>6</v>
      </c>
      <c r="E176" s="4" t="s">
        <v>853</v>
      </c>
      <c r="J176" s="2" t="s">
        <v>155</v>
      </c>
      <c r="K176" s="4" t="s">
        <v>854</v>
      </c>
      <c r="L176" s="3" t="s">
        <v>428</v>
      </c>
    </row>
    <row r="177" spans="1:12" x14ac:dyDescent="0.2">
      <c r="A177" s="3">
        <v>176</v>
      </c>
      <c r="B177" s="3" t="s">
        <v>18</v>
      </c>
      <c r="C177" s="3">
        <v>4</v>
      </c>
      <c r="D177" s="3" t="s">
        <v>8</v>
      </c>
      <c r="E177" s="4" t="s">
        <v>855</v>
      </c>
      <c r="F177" s="2" t="s">
        <v>856</v>
      </c>
      <c r="G177" s="2" t="s">
        <v>857</v>
      </c>
      <c r="H177" s="2" t="s">
        <v>858</v>
      </c>
      <c r="I177" s="2" t="s">
        <v>859</v>
      </c>
      <c r="J177" s="2" t="s">
        <v>860</v>
      </c>
      <c r="K177" s="2" t="s">
        <v>861</v>
      </c>
      <c r="L177" s="3" t="s">
        <v>428</v>
      </c>
    </row>
    <row r="178" spans="1:12" x14ac:dyDescent="0.2">
      <c r="A178" s="3">
        <v>177</v>
      </c>
      <c r="B178" s="3" t="s">
        <v>18</v>
      </c>
      <c r="C178" s="3">
        <v>4</v>
      </c>
      <c r="D178" s="3" t="s">
        <v>8</v>
      </c>
      <c r="E178" s="4" t="s">
        <v>862</v>
      </c>
      <c r="F178" s="2" t="s">
        <v>863</v>
      </c>
      <c r="G178" s="2" t="s">
        <v>864</v>
      </c>
      <c r="H178" s="2" t="s">
        <v>865</v>
      </c>
      <c r="I178" s="2" t="s">
        <v>866</v>
      </c>
      <c r="J178" s="2" t="s">
        <v>867</v>
      </c>
      <c r="K178" s="2" t="s">
        <v>868</v>
      </c>
      <c r="L178" s="3" t="s">
        <v>428</v>
      </c>
    </row>
    <row r="179" spans="1:12" x14ac:dyDescent="0.2">
      <c r="A179" s="3">
        <v>178</v>
      </c>
      <c r="B179" s="3" t="s">
        <v>18</v>
      </c>
      <c r="C179" s="3">
        <v>4</v>
      </c>
      <c r="D179" s="3" t="s">
        <v>62</v>
      </c>
      <c r="E179" s="4" t="s">
        <v>869</v>
      </c>
      <c r="F179" s="2" t="s">
        <v>870</v>
      </c>
      <c r="G179" s="2" t="s">
        <v>871</v>
      </c>
      <c r="H179" s="2" t="s">
        <v>872</v>
      </c>
      <c r="I179" s="2" t="s">
        <v>873</v>
      </c>
      <c r="J179" s="2" t="s">
        <v>874</v>
      </c>
      <c r="K179" s="4" t="s">
        <v>875</v>
      </c>
      <c r="L179" s="3" t="s">
        <v>428</v>
      </c>
    </row>
    <row r="180" spans="1:12" x14ac:dyDescent="0.2">
      <c r="A180" s="3">
        <v>179</v>
      </c>
      <c r="B180" s="3" t="s">
        <v>18</v>
      </c>
      <c r="C180" s="3">
        <v>4</v>
      </c>
      <c r="D180" s="3" t="s">
        <v>8</v>
      </c>
      <c r="E180" s="4" t="s">
        <v>876</v>
      </c>
      <c r="F180" s="2" t="s">
        <v>877</v>
      </c>
      <c r="G180" s="2" t="s">
        <v>878</v>
      </c>
      <c r="H180" s="2" t="s">
        <v>879</v>
      </c>
      <c r="I180" s="2" t="s">
        <v>880</v>
      </c>
      <c r="J180" s="2" t="s">
        <v>881</v>
      </c>
      <c r="K180" s="4" t="s">
        <v>882</v>
      </c>
      <c r="L180" s="3" t="s">
        <v>428</v>
      </c>
    </row>
    <row r="181" spans="1:12" x14ac:dyDescent="0.2">
      <c r="A181" s="3">
        <v>180</v>
      </c>
      <c r="B181" s="3" t="s">
        <v>18</v>
      </c>
      <c r="C181" s="3">
        <v>4</v>
      </c>
      <c r="D181" s="3" t="s">
        <v>62</v>
      </c>
      <c r="E181" s="4" t="s">
        <v>883</v>
      </c>
      <c r="F181" s="2" t="s">
        <v>884</v>
      </c>
      <c r="G181" s="2" t="s">
        <v>885</v>
      </c>
      <c r="H181" s="2" t="s">
        <v>886</v>
      </c>
      <c r="I181" s="2" t="s">
        <v>887</v>
      </c>
      <c r="J181" s="2" t="s">
        <v>889</v>
      </c>
      <c r="K181" s="2" t="s">
        <v>888</v>
      </c>
      <c r="L181" s="3" t="s">
        <v>428</v>
      </c>
    </row>
    <row r="182" spans="1:12" x14ac:dyDescent="0.2">
      <c r="A182" s="3">
        <v>181</v>
      </c>
      <c r="B182" s="3" t="s">
        <v>18</v>
      </c>
      <c r="C182" s="3">
        <v>4</v>
      </c>
      <c r="D182" s="3" t="s">
        <v>8</v>
      </c>
      <c r="E182" s="4" t="s">
        <v>890</v>
      </c>
      <c r="F182" s="2" t="s">
        <v>891</v>
      </c>
      <c r="G182" s="2" t="s">
        <v>892</v>
      </c>
      <c r="H182" s="2" t="s">
        <v>893</v>
      </c>
      <c r="I182" s="2" t="s">
        <v>894</v>
      </c>
      <c r="J182" s="2" t="s">
        <v>895</v>
      </c>
      <c r="K182" s="2" t="s">
        <v>896</v>
      </c>
      <c r="L182" s="3" t="s">
        <v>428</v>
      </c>
    </row>
    <row r="183" spans="1:12" x14ac:dyDescent="0.2">
      <c r="A183" s="3">
        <v>182</v>
      </c>
      <c r="B183" s="3" t="s">
        <v>18</v>
      </c>
      <c r="C183" s="3">
        <v>4</v>
      </c>
      <c r="D183" s="3" t="s">
        <v>62</v>
      </c>
      <c r="E183" s="4" t="s">
        <v>897</v>
      </c>
      <c r="F183" s="2" t="s">
        <v>898</v>
      </c>
      <c r="G183" s="2" t="s">
        <v>899</v>
      </c>
      <c r="H183" s="2" t="s">
        <v>900</v>
      </c>
      <c r="I183" s="2" t="s">
        <v>901</v>
      </c>
      <c r="J183" s="2" t="s">
        <v>902</v>
      </c>
      <c r="K183" s="2" t="s">
        <v>903</v>
      </c>
      <c r="L183" s="3" t="s">
        <v>428</v>
      </c>
    </row>
    <row r="184" spans="1:12" x14ac:dyDescent="0.2">
      <c r="A184" s="3">
        <v>183</v>
      </c>
      <c r="B184" s="3" t="s">
        <v>18</v>
      </c>
      <c r="C184" s="3">
        <v>4</v>
      </c>
      <c r="D184" s="3" t="s">
        <v>8</v>
      </c>
      <c r="E184" s="4" t="s">
        <v>904</v>
      </c>
      <c r="F184" s="2">
        <v>28</v>
      </c>
      <c r="G184" s="2">
        <v>26</v>
      </c>
      <c r="H184" s="2">
        <v>30</v>
      </c>
      <c r="I184" s="2">
        <v>10</v>
      </c>
      <c r="J184" s="2" t="s">
        <v>905</v>
      </c>
      <c r="K184" s="2" t="s">
        <v>906</v>
      </c>
      <c r="L184" s="3" t="s">
        <v>428</v>
      </c>
    </row>
    <row r="185" spans="1:12" x14ac:dyDescent="0.2">
      <c r="A185" s="3">
        <v>184</v>
      </c>
      <c r="B185" s="3" t="s">
        <v>18</v>
      </c>
      <c r="C185" s="3">
        <v>4</v>
      </c>
      <c r="D185" s="3" t="s">
        <v>8</v>
      </c>
      <c r="E185" s="4" t="s">
        <v>907</v>
      </c>
      <c r="F185" s="2" t="s">
        <v>908</v>
      </c>
      <c r="G185" s="2" t="s">
        <v>909</v>
      </c>
      <c r="H185" s="2" t="s">
        <v>910</v>
      </c>
      <c r="I185" s="2" t="s">
        <v>911</v>
      </c>
      <c r="J185" s="2" t="s">
        <v>912</v>
      </c>
      <c r="K185" s="2" t="s">
        <v>913</v>
      </c>
      <c r="L185" s="3" t="s">
        <v>428</v>
      </c>
    </row>
    <row r="186" spans="1:12" x14ac:dyDescent="0.2">
      <c r="A186" s="3">
        <v>185</v>
      </c>
      <c r="B186" s="3" t="s">
        <v>18</v>
      </c>
      <c r="C186" s="3">
        <v>4</v>
      </c>
      <c r="D186" s="3" t="s">
        <v>8</v>
      </c>
      <c r="E186" s="4" t="s">
        <v>914</v>
      </c>
      <c r="F186" s="2" t="s">
        <v>915</v>
      </c>
      <c r="G186" s="2" t="s">
        <v>916</v>
      </c>
      <c r="H186" s="2" t="s">
        <v>917</v>
      </c>
      <c r="I186" s="2" t="s">
        <v>918</v>
      </c>
      <c r="J186" s="2" t="s">
        <v>905</v>
      </c>
      <c r="K186" s="4" t="s">
        <v>919</v>
      </c>
      <c r="L186" s="3" t="s">
        <v>428</v>
      </c>
    </row>
    <row r="187" spans="1:12" x14ac:dyDescent="0.2">
      <c r="A187" s="3">
        <v>186</v>
      </c>
      <c r="B187" s="3" t="s">
        <v>18</v>
      </c>
      <c r="C187" s="3">
        <v>4</v>
      </c>
      <c r="D187" s="3" t="s">
        <v>8</v>
      </c>
      <c r="E187" s="4" t="s">
        <v>920</v>
      </c>
      <c r="F187" s="2">
        <v>181</v>
      </c>
      <c r="G187" s="2">
        <v>177</v>
      </c>
      <c r="H187" s="2">
        <v>178</v>
      </c>
      <c r="I187" s="2">
        <v>175</v>
      </c>
      <c r="J187" s="2" t="s">
        <v>921</v>
      </c>
      <c r="K187" s="4" t="s">
        <v>922</v>
      </c>
      <c r="L187" s="3" t="s">
        <v>428</v>
      </c>
    </row>
    <row r="188" spans="1:12" x14ac:dyDescent="0.2">
      <c r="A188" s="3">
        <v>187</v>
      </c>
      <c r="B188" s="3" t="s">
        <v>18</v>
      </c>
      <c r="C188" s="3">
        <v>4</v>
      </c>
      <c r="D188" s="3" t="s">
        <v>62</v>
      </c>
      <c r="E188" s="4" t="s">
        <v>923</v>
      </c>
      <c r="F188" s="2" t="s">
        <v>925</v>
      </c>
      <c r="G188" s="2" t="s">
        <v>926</v>
      </c>
      <c r="H188" s="2" t="s">
        <v>927</v>
      </c>
      <c r="I188" s="2" t="s">
        <v>928</v>
      </c>
      <c r="J188" s="2" t="s">
        <v>924</v>
      </c>
      <c r="K188" s="4" t="s">
        <v>929</v>
      </c>
      <c r="L188" s="3" t="s">
        <v>428</v>
      </c>
    </row>
    <row r="189" spans="1:12" x14ac:dyDescent="0.2">
      <c r="A189" s="3">
        <v>188</v>
      </c>
      <c r="B189" s="3" t="s">
        <v>18</v>
      </c>
      <c r="C189" s="3">
        <v>4</v>
      </c>
      <c r="D189" s="3" t="s">
        <v>62</v>
      </c>
      <c r="E189" s="4" t="s">
        <v>930</v>
      </c>
      <c r="F189" s="2" t="s">
        <v>931</v>
      </c>
      <c r="G189" s="2" t="s">
        <v>932</v>
      </c>
      <c r="H189" s="2" t="s">
        <v>933</v>
      </c>
      <c r="I189" s="2" t="s">
        <v>934</v>
      </c>
      <c r="J189" s="2" t="s">
        <v>935</v>
      </c>
      <c r="K189" s="4" t="s">
        <v>936</v>
      </c>
      <c r="L189" s="3" t="s">
        <v>428</v>
      </c>
    </row>
    <row r="190" spans="1:12" x14ac:dyDescent="0.2">
      <c r="A190" s="3">
        <v>189</v>
      </c>
      <c r="B190" s="3" t="s">
        <v>18</v>
      </c>
      <c r="C190" s="3">
        <v>4</v>
      </c>
      <c r="D190" s="3" t="s">
        <v>62</v>
      </c>
      <c r="E190" s="4" t="s">
        <v>937</v>
      </c>
      <c r="F190" s="2" t="s">
        <v>938</v>
      </c>
      <c r="G190" s="2" t="s">
        <v>939</v>
      </c>
      <c r="H190" s="2" t="s">
        <v>940</v>
      </c>
      <c r="I190" s="2" t="s">
        <v>941</v>
      </c>
      <c r="J190" s="2" t="s">
        <v>942</v>
      </c>
      <c r="K190" s="4" t="s">
        <v>943</v>
      </c>
      <c r="L190" s="3" t="s">
        <v>428</v>
      </c>
    </row>
    <row r="191" spans="1:12" x14ac:dyDescent="0.2">
      <c r="A191" s="3">
        <v>190</v>
      </c>
      <c r="B191" s="3" t="s">
        <v>18</v>
      </c>
      <c r="C191" s="3">
        <v>4</v>
      </c>
      <c r="D191" s="3" t="s">
        <v>62</v>
      </c>
      <c r="E191" s="4" t="s">
        <v>944</v>
      </c>
      <c r="F191" s="2" t="s">
        <v>945</v>
      </c>
      <c r="G191" s="2" t="s">
        <v>946</v>
      </c>
      <c r="H191" s="2" t="s">
        <v>947</v>
      </c>
      <c r="I191" s="2" t="s">
        <v>948</v>
      </c>
      <c r="J191" s="2" t="s">
        <v>949</v>
      </c>
      <c r="K191" s="2" t="s">
        <v>950</v>
      </c>
      <c r="L191" s="3" t="s">
        <v>428</v>
      </c>
    </row>
    <row r="192" spans="1:12" x14ac:dyDescent="0.2">
      <c r="A192" s="3">
        <v>191</v>
      </c>
      <c r="B192" s="3" t="s">
        <v>18</v>
      </c>
      <c r="C192" s="3">
        <v>4</v>
      </c>
      <c r="D192" s="3" t="s">
        <v>62</v>
      </c>
      <c r="E192" s="4" t="s">
        <v>951</v>
      </c>
      <c r="F192" s="2" t="s">
        <v>952</v>
      </c>
      <c r="G192" s="2" t="s">
        <v>953</v>
      </c>
      <c r="H192" s="2" t="s">
        <v>954</v>
      </c>
      <c r="I192" s="2" t="s">
        <v>955</v>
      </c>
      <c r="J192" s="2" t="s">
        <v>956</v>
      </c>
      <c r="K192" s="2" t="s">
        <v>957</v>
      </c>
      <c r="L192" s="3" t="s">
        <v>428</v>
      </c>
    </row>
    <row r="193" spans="1:12" x14ac:dyDescent="0.2">
      <c r="A193" s="3">
        <v>192</v>
      </c>
      <c r="B193" s="3" t="s">
        <v>18</v>
      </c>
      <c r="C193" s="3">
        <v>4</v>
      </c>
      <c r="D193" s="3" t="s">
        <v>8</v>
      </c>
      <c r="E193" s="4" t="s">
        <v>958</v>
      </c>
      <c r="F193" s="2">
        <v>156</v>
      </c>
      <c r="G193" s="2">
        <v>132</v>
      </c>
      <c r="H193" s="2">
        <v>192</v>
      </c>
      <c r="I193" s="2">
        <v>96</v>
      </c>
      <c r="J193" s="2" t="s">
        <v>959</v>
      </c>
      <c r="K193" s="4" t="s">
        <v>960</v>
      </c>
      <c r="L193" s="3" t="s">
        <v>428</v>
      </c>
    </row>
    <row r="194" spans="1:12" x14ac:dyDescent="0.2">
      <c r="A194" s="3">
        <v>193</v>
      </c>
      <c r="B194" s="3" t="s">
        <v>18</v>
      </c>
      <c r="C194" s="3">
        <v>4</v>
      </c>
      <c r="D194" s="3" t="s">
        <v>62</v>
      </c>
      <c r="E194" s="4" t="s">
        <v>961</v>
      </c>
      <c r="F194" s="2" t="s">
        <v>963</v>
      </c>
      <c r="G194" s="2" t="s">
        <v>964</v>
      </c>
      <c r="H194" s="2" t="s">
        <v>965</v>
      </c>
      <c r="I194" s="2" t="s">
        <v>966</v>
      </c>
      <c r="J194" s="2" t="s">
        <v>967</v>
      </c>
      <c r="K194" s="4" t="s">
        <v>962</v>
      </c>
      <c r="L194" s="3" t="s">
        <v>428</v>
      </c>
    </row>
    <row r="195" spans="1:12" x14ac:dyDescent="0.2">
      <c r="A195" s="3">
        <v>194</v>
      </c>
      <c r="B195" s="3" t="s">
        <v>18</v>
      </c>
      <c r="C195" s="3">
        <v>4</v>
      </c>
      <c r="D195" s="3" t="s">
        <v>6</v>
      </c>
      <c r="E195" s="4" t="s">
        <v>968</v>
      </c>
      <c r="J195" s="2" t="s">
        <v>970</v>
      </c>
      <c r="K195" s="4" t="s">
        <v>969</v>
      </c>
      <c r="L195" s="3" t="s">
        <v>428</v>
      </c>
    </row>
    <row r="196" spans="1:12" x14ac:dyDescent="0.2">
      <c r="A196" s="3">
        <v>195</v>
      </c>
      <c r="B196" s="3" t="s">
        <v>18</v>
      </c>
      <c r="C196" s="3">
        <v>4</v>
      </c>
      <c r="D196" s="3" t="s">
        <v>62</v>
      </c>
      <c r="E196" s="4" t="s">
        <v>971</v>
      </c>
      <c r="F196" s="2" t="s">
        <v>972</v>
      </c>
      <c r="G196" s="2" t="s">
        <v>973</v>
      </c>
      <c r="H196" s="2" t="s">
        <v>974</v>
      </c>
      <c r="I196" s="2" t="s">
        <v>975</v>
      </c>
      <c r="J196" s="2" t="s">
        <v>949</v>
      </c>
      <c r="K196" s="2" t="s">
        <v>976</v>
      </c>
      <c r="L196" s="3" t="s">
        <v>428</v>
      </c>
    </row>
    <row r="197" spans="1:12" x14ac:dyDescent="0.2">
      <c r="A197" s="3">
        <v>196</v>
      </c>
      <c r="B197" s="3" t="s">
        <v>18</v>
      </c>
      <c r="C197" s="3">
        <v>4</v>
      </c>
      <c r="D197" s="3" t="s">
        <v>8</v>
      </c>
      <c r="E197" s="4" t="s">
        <v>977</v>
      </c>
      <c r="F197" s="2">
        <v>46</v>
      </c>
      <c r="G197" s="2">
        <v>48</v>
      </c>
      <c r="H197" s="2">
        <v>50</v>
      </c>
      <c r="I197" s="2">
        <v>96</v>
      </c>
      <c r="J197" s="2" t="s">
        <v>830</v>
      </c>
      <c r="K197" s="4" t="s">
        <v>978</v>
      </c>
      <c r="L197" s="3" t="s">
        <v>428</v>
      </c>
    </row>
    <row r="198" spans="1:12" x14ac:dyDescent="0.2">
      <c r="A198" s="3">
        <v>197</v>
      </c>
      <c r="B198" s="3" t="s">
        <v>18</v>
      </c>
      <c r="C198" s="3">
        <v>4</v>
      </c>
      <c r="D198" s="3" t="s">
        <v>8</v>
      </c>
      <c r="E198" s="4" t="s">
        <v>979</v>
      </c>
      <c r="F198" s="2">
        <v>50</v>
      </c>
      <c r="G198" s="2">
        <v>56.4</v>
      </c>
      <c r="H198" s="2">
        <v>42</v>
      </c>
      <c r="I198" s="2">
        <v>54</v>
      </c>
      <c r="J198" s="2" t="s">
        <v>980</v>
      </c>
      <c r="K198" s="4" t="s">
        <v>981</v>
      </c>
      <c r="L198" s="3" t="s">
        <v>428</v>
      </c>
    </row>
    <row r="199" spans="1:12" x14ac:dyDescent="0.2">
      <c r="A199" s="3">
        <v>198</v>
      </c>
      <c r="B199" s="3" t="s">
        <v>18</v>
      </c>
      <c r="C199" s="3">
        <v>4</v>
      </c>
      <c r="D199" s="3" t="s">
        <v>6</v>
      </c>
      <c r="E199" s="4" t="s">
        <v>982</v>
      </c>
      <c r="J199" s="2" t="s">
        <v>983</v>
      </c>
      <c r="K199" s="4" t="s">
        <v>984</v>
      </c>
      <c r="L199" s="3" t="s">
        <v>428</v>
      </c>
    </row>
    <row r="200" spans="1:12" x14ac:dyDescent="0.2">
      <c r="A200" s="3">
        <v>199</v>
      </c>
      <c r="B200" s="3" t="s">
        <v>18</v>
      </c>
      <c r="C200" s="3">
        <v>6</v>
      </c>
      <c r="D200" s="3" t="s">
        <v>62</v>
      </c>
      <c r="E200" s="4" t="s">
        <v>987</v>
      </c>
      <c r="F200" s="2" t="s">
        <v>988</v>
      </c>
      <c r="G200" s="2" t="s">
        <v>989</v>
      </c>
      <c r="H200" s="2" t="s">
        <v>990</v>
      </c>
      <c r="I200" s="2" t="s">
        <v>991</v>
      </c>
      <c r="J200" s="2" t="s">
        <v>992</v>
      </c>
      <c r="K200" s="4" t="s">
        <v>993</v>
      </c>
      <c r="L200" s="3" t="s">
        <v>428</v>
      </c>
    </row>
    <row r="201" spans="1:12" x14ac:dyDescent="0.2">
      <c r="A201" s="3">
        <v>200</v>
      </c>
      <c r="B201" s="3" t="s">
        <v>18</v>
      </c>
      <c r="C201" s="3">
        <v>6</v>
      </c>
      <c r="D201" s="3" t="s">
        <v>62</v>
      </c>
      <c r="E201" s="4" t="s">
        <v>994</v>
      </c>
      <c r="F201" s="2" t="s">
        <v>995</v>
      </c>
      <c r="G201" s="2" t="s">
        <v>996</v>
      </c>
      <c r="H201" s="2" t="s">
        <v>997</v>
      </c>
      <c r="I201" s="2" t="s">
        <v>998</v>
      </c>
      <c r="J201" s="2" t="s">
        <v>844</v>
      </c>
      <c r="K201" s="4" t="s">
        <v>999</v>
      </c>
      <c r="L201" s="3" t="s">
        <v>428</v>
      </c>
    </row>
    <row r="202" spans="1:12" x14ac:dyDescent="0.2">
      <c r="A202" s="3">
        <v>201</v>
      </c>
      <c r="B202" s="3" t="s">
        <v>18</v>
      </c>
      <c r="C202" s="3">
        <v>6</v>
      </c>
      <c r="D202" s="3" t="s">
        <v>6</v>
      </c>
      <c r="E202" s="4" t="s">
        <v>1000</v>
      </c>
      <c r="J202" s="2" t="s">
        <v>1001</v>
      </c>
      <c r="K202" s="4" t="s">
        <v>1002</v>
      </c>
      <c r="L202" s="3" t="s">
        <v>428</v>
      </c>
    </row>
    <row r="203" spans="1:12" x14ac:dyDescent="0.2">
      <c r="A203" s="3">
        <v>202</v>
      </c>
      <c r="B203" s="3" t="s">
        <v>18</v>
      </c>
      <c r="C203" s="3">
        <v>6</v>
      </c>
      <c r="D203" s="3" t="s">
        <v>8</v>
      </c>
      <c r="E203" s="4" t="s">
        <v>1003</v>
      </c>
      <c r="F203" s="2" t="s">
        <v>1004</v>
      </c>
      <c r="G203" s="2" t="s">
        <v>1005</v>
      </c>
      <c r="H203" s="2" t="s">
        <v>1006</v>
      </c>
      <c r="I203" s="2" t="s">
        <v>1007</v>
      </c>
      <c r="J203" s="2" t="s">
        <v>1008</v>
      </c>
      <c r="K203" s="4" t="s">
        <v>1009</v>
      </c>
      <c r="L203" s="3" t="s">
        <v>428</v>
      </c>
    </row>
    <row r="204" spans="1:12" x14ac:dyDescent="0.2">
      <c r="A204" s="3">
        <v>203</v>
      </c>
      <c r="B204" s="3" t="s">
        <v>18</v>
      </c>
      <c r="C204" s="3">
        <v>6</v>
      </c>
      <c r="D204" s="3" t="s">
        <v>8</v>
      </c>
      <c r="E204" s="4" t="s">
        <v>1010</v>
      </c>
      <c r="F204" s="2" t="s">
        <v>1011</v>
      </c>
      <c r="G204" s="2" t="s">
        <v>1012</v>
      </c>
      <c r="H204" s="2" t="s">
        <v>1013</v>
      </c>
      <c r="I204" s="2" t="s">
        <v>1014</v>
      </c>
      <c r="J204" s="2" t="s">
        <v>905</v>
      </c>
      <c r="K204" s="2" t="s">
        <v>1015</v>
      </c>
      <c r="L204" s="3" t="s">
        <v>428</v>
      </c>
    </row>
    <row r="205" spans="1:12" x14ac:dyDescent="0.2">
      <c r="A205" s="3">
        <v>204</v>
      </c>
      <c r="B205" s="3" t="s">
        <v>18</v>
      </c>
      <c r="C205" s="3">
        <v>6</v>
      </c>
      <c r="D205" s="3" t="s">
        <v>62</v>
      </c>
      <c r="E205" s="4" t="s">
        <v>1016</v>
      </c>
      <c r="F205" s="2" t="s">
        <v>1017</v>
      </c>
      <c r="G205" s="2" t="s">
        <v>1018</v>
      </c>
      <c r="H205" s="2" t="s">
        <v>1019</v>
      </c>
      <c r="I205" s="2" t="s">
        <v>1020</v>
      </c>
      <c r="J205" s="2" t="s">
        <v>1021</v>
      </c>
      <c r="K205" s="4" t="s">
        <v>1022</v>
      </c>
      <c r="L205" s="3" t="s">
        <v>428</v>
      </c>
    </row>
    <row r="206" spans="1:12" x14ac:dyDescent="0.2">
      <c r="A206" s="3">
        <v>205</v>
      </c>
      <c r="B206" s="3" t="s">
        <v>18</v>
      </c>
      <c r="C206" s="3">
        <v>6</v>
      </c>
      <c r="D206" s="3" t="s">
        <v>62</v>
      </c>
      <c r="E206" s="4" t="s">
        <v>1023</v>
      </c>
      <c r="F206" s="2" t="s">
        <v>1024</v>
      </c>
      <c r="G206" s="2" t="s">
        <v>1025</v>
      </c>
      <c r="H206" s="2" t="s">
        <v>1026</v>
      </c>
      <c r="I206" s="2" t="s">
        <v>1027</v>
      </c>
      <c r="J206" s="2" t="s">
        <v>1028</v>
      </c>
      <c r="K206" s="4" t="s">
        <v>1029</v>
      </c>
      <c r="L206" s="3" t="s">
        <v>428</v>
      </c>
    </row>
    <row r="207" spans="1:12" x14ac:dyDescent="0.2">
      <c r="A207" s="3">
        <v>206</v>
      </c>
      <c r="B207" s="3" t="s">
        <v>18</v>
      </c>
      <c r="C207" s="3">
        <v>6</v>
      </c>
      <c r="D207" s="3" t="s">
        <v>62</v>
      </c>
      <c r="E207" s="4" t="s">
        <v>1030</v>
      </c>
      <c r="F207" s="2" t="s">
        <v>1032</v>
      </c>
      <c r="G207" s="2" t="s">
        <v>1033</v>
      </c>
      <c r="H207" s="2" t="s">
        <v>1034</v>
      </c>
      <c r="I207" s="2" t="s">
        <v>1035</v>
      </c>
      <c r="J207" s="2" t="s">
        <v>1031</v>
      </c>
      <c r="K207" s="4" t="s">
        <v>1036</v>
      </c>
      <c r="L207" s="3" t="s">
        <v>428</v>
      </c>
    </row>
    <row r="208" spans="1:12" x14ac:dyDescent="0.2">
      <c r="A208" s="3">
        <v>207</v>
      </c>
      <c r="B208" s="3" t="s">
        <v>18</v>
      </c>
      <c r="C208" s="3">
        <v>6</v>
      </c>
      <c r="D208" s="3" t="s">
        <v>62</v>
      </c>
      <c r="E208" s="4" t="s">
        <v>1037</v>
      </c>
      <c r="F208" s="2" t="s">
        <v>1038</v>
      </c>
      <c r="G208" s="2" t="s">
        <v>1039</v>
      </c>
      <c r="H208" s="2" t="s">
        <v>1040</v>
      </c>
      <c r="I208" s="2" t="s">
        <v>1041</v>
      </c>
      <c r="J208" s="2" t="s">
        <v>1042</v>
      </c>
      <c r="K208" s="2" t="s">
        <v>1043</v>
      </c>
      <c r="L208" s="3" t="s">
        <v>428</v>
      </c>
    </row>
    <row r="209" spans="1:12" x14ac:dyDescent="0.2">
      <c r="A209" s="3">
        <v>208</v>
      </c>
      <c r="B209" s="3" t="s">
        <v>18</v>
      </c>
      <c r="C209" s="3">
        <v>6</v>
      </c>
      <c r="D209" s="3" t="s">
        <v>8</v>
      </c>
      <c r="E209" s="4" t="s">
        <v>1044</v>
      </c>
      <c r="F209" s="2">
        <v>400</v>
      </c>
      <c r="G209" s="2">
        <v>800</v>
      </c>
      <c r="H209" s="2">
        <v>200</v>
      </c>
      <c r="I209" s="2">
        <v>1000</v>
      </c>
      <c r="J209" s="2" t="s">
        <v>1045</v>
      </c>
      <c r="K209" s="4" t="s">
        <v>1046</v>
      </c>
      <c r="L209" s="3" t="s">
        <v>428</v>
      </c>
    </row>
    <row r="210" spans="1:12" x14ac:dyDescent="0.2">
      <c r="A210" s="3">
        <v>209</v>
      </c>
      <c r="B210" s="3" t="s">
        <v>18</v>
      </c>
      <c r="C210" s="3">
        <v>6</v>
      </c>
      <c r="D210" s="3" t="s">
        <v>8</v>
      </c>
      <c r="E210" s="4" t="s">
        <v>1047</v>
      </c>
      <c r="F210" s="2" t="s">
        <v>1048</v>
      </c>
      <c r="G210" s="2" t="s">
        <v>1049</v>
      </c>
      <c r="H210" s="2" t="s">
        <v>1050</v>
      </c>
      <c r="I210" s="2" t="s">
        <v>1051</v>
      </c>
      <c r="J210" s="2" t="s">
        <v>1052</v>
      </c>
      <c r="K210" s="2" t="s">
        <v>1053</v>
      </c>
      <c r="L210" s="3" t="s">
        <v>428</v>
      </c>
    </row>
    <row r="211" spans="1:12" x14ac:dyDescent="0.2">
      <c r="A211" s="3">
        <v>210</v>
      </c>
      <c r="B211" s="3" t="s">
        <v>18</v>
      </c>
      <c r="C211" s="3">
        <v>6</v>
      </c>
      <c r="D211" s="3" t="s">
        <v>8</v>
      </c>
      <c r="E211" s="4" t="s">
        <v>1054</v>
      </c>
      <c r="F211" s="2">
        <v>3700</v>
      </c>
      <c r="G211" s="2">
        <v>3800</v>
      </c>
      <c r="H211" s="2">
        <v>3850</v>
      </c>
      <c r="I211" s="2">
        <v>4000</v>
      </c>
      <c r="J211" s="2" t="s">
        <v>1055</v>
      </c>
      <c r="K211" s="4" t="s">
        <v>1057</v>
      </c>
      <c r="L211" s="3" t="s">
        <v>428</v>
      </c>
    </row>
    <row r="212" spans="1:12" x14ac:dyDescent="0.2">
      <c r="A212" s="3">
        <v>211</v>
      </c>
      <c r="B212" s="3" t="s">
        <v>18</v>
      </c>
      <c r="C212" s="3">
        <v>6</v>
      </c>
      <c r="D212" s="3" t="s">
        <v>8</v>
      </c>
      <c r="E212" s="4" t="s">
        <v>1056</v>
      </c>
      <c r="F212" s="2" t="s">
        <v>1050</v>
      </c>
      <c r="G212" s="2" t="s">
        <v>302</v>
      </c>
      <c r="H212" s="2" t="s">
        <v>303</v>
      </c>
      <c r="I212" s="2" t="s">
        <v>304</v>
      </c>
      <c r="J212" s="2" t="s">
        <v>912</v>
      </c>
      <c r="K212" s="2" t="s">
        <v>1058</v>
      </c>
      <c r="L212" s="3" t="s">
        <v>428</v>
      </c>
    </row>
    <row r="213" spans="1:12" x14ac:dyDescent="0.2">
      <c r="A213" s="3">
        <v>212</v>
      </c>
      <c r="B213" s="3" t="s">
        <v>18</v>
      </c>
      <c r="C213" s="3">
        <v>6</v>
      </c>
      <c r="D213" s="3" t="s">
        <v>8</v>
      </c>
      <c r="E213" s="4" t="s">
        <v>1059</v>
      </c>
      <c r="F213" s="2" t="s">
        <v>1060</v>
      </c>
      <c r="G213" s="2" t="s">
        <v>1061</v>
      </c>
      <c r="H213" s="2" t="s">
        <v>1062</v>
      </c>
      <c r="I213" s="2" t="s">
        <v>1063</v>
      </c>
      <c r="J213" s="2" t="s">
        <v>980</v>
      </c>
      <c r="K213" s="2" t="s">
        <v>1064</v>
      </c>
      <c r="L213" s="3" t="s">
        <v>428</v>
      </c>
    </row>
    <row r="214" spans="1:12" x14ac:dyDescent="0.2">
      <c r="A214" s="3">
        <v>213</v>
      </c>
      <c r="B214" s="3" t="s">
        <v>18</v>
      </c>
      <c r="C214" s="3">
        <v>6</v>
      </c>
      <c r="D214" s="3" t="s">
        <v>8</v>
      </c>
      <c r="E214" s="4" t="s">
        <v>1065</v>
      </c>
      <c r="F214" s="2">
        <v>800</v>
      </c>
      <c r="G214" s="2">
        <v>2350</v>
      </c>
      <c r="H214" s="2">
        <v>2300</v>
      </c>
      <c r="I214" s="2">
        <v>3300</v>
      </c>
      <c r="J214" s="2" t="s">
        <v>921</v>
      </c>
      <c r="K214" s="4" t="s">
        <v>1066</v>
      </c>
      <c r="L214" s="3" t="s">
        <v>428</v>
      </c>
    </row>
    <row r="215" spans="1:12" x14ac:dyDescent="0.2">
      <c r="A215" s="3">
        <v>214</v>
      </c>
      <c r="B215" s="3" t="s">
        <v>18</v>
      </c>
      <c r="C215" s="3">
        <v>6</v>
      </c>
      <c r="D215" s="3" t="s">
        <v>62</v>
      </c>
      <c r="E215" s="4" t="s">
        <v>1067</v>
      </c>
      <c r="F215" s="2" t="s">
        <v>1068</v>
      </c>
      <c r="G215" s="2" t="s">
        <v>1069</v>
      </c>
      <c r="H215" s="2" t="s">
        <v>1070</v>
      </c>
      <c r="I215" s="2" t="s">
        <v>1005</v>
      </c>
      <c r="J215" s="2" t="s">
        <v>851</v>
      </c>
      <c r="K215" s="2" t="s">
        <v>1071</v>
      </c>
      <c r="L215" s="3" t="s">
        <v>428</v>
      </c>
    </row>
    <row r="216" spans="1:12" x14ac:dyDescent="0.2">
      <c r="A216" s="3">
        <v>215</v>
      </c>
      <c r="B216" s="3" t="s">
        <v>18</v>
      </c>
      <c r="C216" s="3">
        <v>6</v>
      </c>
      <c r="D216" s="3" t="s">
        <v>6</v>
      </c>
      <c r="E216" s="4" t="s">
        <v>1072</v>
      </c>
      <c r="J216" s="2" t="s">
        <v>1073</v>
      </c>
      <c r="K216" s="2" t="s">
        <v>1074</v>
      </c>
      <c r="L216" s="3" t="s">
        <v>428</v>
      </c>
    </row>
    <row r="217" spans="1:12" x14ac:dyDescent="0.2">
      <c r="A217" s="3">
        <v>216</v>
      </c>
      <c r="B217" s="3" t="s">
        <v>18</v>
      </c>
      <c r="C217" s="3">
        <v>7</v>
      </c>
      <c r="D217" s="3" t="s">
        <v>62</v>
      </c>
      <c r="E217" s="4" t="s">
        <v>1075</v>
      </c>
      <c r="F217" s="2" t="s">
        <v>1076</v>
      </c>
      <c r="G217" s="2" t="s">
        <v>1077</v>
      </c>
      <c r="H217" s="2" t="s">
        <v>1078</v>
      </c>
      <c r="I217" s="2" t="s">
        <v>1079</v>
      </c>
      <c r="J217" s="2" t="s">
        <v>1080</v>
      </c>
      <c r="K217" s="4" t="s">
        <v>1081</v>
      </c>
      <c r="L217" s="3" t="s">
        <v>428</v>
      </c>
    </row>
    <row r="218" spans="1:12" x14ac:dyDescent="0.2">
      <c r="A218" s="3">
        <v>217</v>
      </c>
      <c r="B218" s="3" t="s">
        <v>18</v>
      </c>
      <c r="C218" s="3">
        <v>7</v>
      </c>
      <c r="D218" s="3" t="s">
        <v>62</v>
      </c>
      <c r="E218" s="4" t="s">
        <v>1082</v>
      </c>
      <c r="F218" s="2" t="s">
        <v>1083</v>
      </c>
      <c r="G218" s="2" t="s">
        <v>1084</v>
      </c>
      <c r="H218" s="2" t="s">
        <v>1085</v>
      </c>
      <c r="I218" s="2" t="s">
        <v>1086</v>
      </c>
      <c r="J218" s="2" t="s">
        <v>1087</v>
      </c>
      <c r="K218" s="2" t="s">
        <v>1088</v>
      </c>
      <c r="L218" s="3" t="s">
        <v>428</v>
      </c>
    </row>
    <row r="219" spans="1:12" x14ac:dyDescent="0.2">
      <c r="A219" s="3">
        <v>218</v>
      </c>
      <c r="B219" s="3" t="s">
        <v>18</v>
      </c>
      <c r="C219" s="3">
        <v>7</v>
      </c>
      <c r="D219" s="3" t="s">
        <v>62</v>
      </c>
      <c r="E219" s="4" t="s">
        <v>1700</v>
      </c>
      <c r="F219" s="2" t="s">
        <v>1089</v>
      </c>
      <c r="G219" s="2" t="s">
        <v>1090</v>
      </c>
      <c r="H219" s="2" t="s">
        <v>1091</v>
      </c>
      <c r="I219" s="2" t="s">
        <v>1092</v>
      </c>
      <c r="J219" s="2" t="s">
        <v>1093</v>
      </c>
      <c r="K219" s="4" t="s">
        <v>1094</v>
      </c>
      <c r="L219" s="3" t="s">
        <v>428</v>
      </c>
    </row>
    <row r="220" spans="1:12" x14ac:dyDescent="0.2">
      <c r="A220" s="3">
        <v>219</v>
      </c>
      <c r="B220" s="3" t="s">
        <v>18</v>
      </c>
      <c r="C220" s="3">
        <v>7</v>
      </c>
      <c r="D220" s="3" t="s">
        <v>62</v>
      </c>
      <c r="E220" s="4" t="s">
        <v>1095</v>
      </c>
      <c r="F220" s="2" t="s">
        <v>1096</v>
      </c>
      <c r="G220" s="2" t="s">
        <v>1097</v>
      </c>
      <c r="H220" s="2" t="s">
        <v>1098</v>
      </c>
      <c r="I220" s="2" t="s">
        <v>1092</v>
      </c>
      <c r="J220" s="2" t="s">
        <v>1093</v>
      </c>
      <c r="K220" s="4" t="s">
        <v>1099</v>
      </c>
      <c r="L220" s="3" t="s">
        <v>428</v>
      </c>
    </row>
    <row r="221" spans="1:12" x14ac:dyDescent="0.2">
      <c r="A221" s="3">
        <v>220</v>
      </c>
      <c r="B221" s="3" t="s">
        <v>18</v>
      </c>
      <c r="C221" s="3">
        <v>7</v>
      </c>
      <c r="D221" s="3" t="s">
        <v>62</v>
      </c>
      <c r="E221" s="4" t="s">
        <v>1101</v>
      </c>
      <c r="F221" s="2" t="s">
        <v>1100</v>
      </c>
      <c r="G221" s="2" t="s">
        <v>1102</v>
      </c>
      <c r="H221" s="2" t="s">
        <v>1103</v>
      </c>
      <c r="I221" s="2" t="s">
        <v>1104</v>
      </c>
      <c r="J221" s="2" t="s">
        <v>1105</v>
      </c>
      <c r="K221" s="4" t="s">
        <v>1106</v>
      </c>
      <c r="L221" s="3" t="s">
        <v>428</v>
      </c>
    </row>
    <row r="222" spans="1:12" x14ac:dyDescent="0.2">
      <c r="A222" s="3">
        <v>221</v>
      </c>
      <c r="B222" s="3" t="s">
        <v>18</v>
      </c>
      <c r="C222" s="3">
        <v>7</v>
      </c>
      <c r="D222" s="3" t="s">
        <v>62</v>
      </c>
      <c r="E222" s="4" t="s">
        <v>1107</v>
      </c>
      <c r="F222" s="2" t="s">
        <v>1092</v>
      </c>
      <c r="G222" s="2" t="s">
        <v>1108</v>
      </c>
      <c r="H222" s="2" t="s">
        <v>1109</v>
      </c>
      <c r="I222" s="2" t="s">
        <v>1110</v>
      </c>
      <c r="J222" s="2" t="s">
        <v>1111</v>
      </c>
      <c r="K222" s="2" t="s">
        <v>1112</v>
      </c>
      <c r="L222" s="3" t="s">
        <v>428</v>
      </c>
    </row>
    <row r="223" spans="1:12" x14ac:dyDescent="0.2">
      <c r="A223" s="3">
        <v>222</v>
      </c>
      <c r="B223" s="3" t="s">
        <v>18</v>
      </c>
      <c r="C223" s="3">
        <v>7</v>
      </c>
      <c r="D223" s="3" t="s">
        <v>62</v>
      </c>
      <c r="E223" s="4" t="s">
        <v>1113</v>
      </c>
      <c r="F223" s="2" t="s">
        <v>1114</v>
      </c>
      <c r="G223" s="2" t="s">
        <v>1115</v>
      </c>
      <c r="H223" s="2" t="s">
        <v>1116</v>
      </c>
      <c r="I223" s="2" t="s">
        <v>1090</v>
      </c>
      <c r="J223" s="2" t="s">
        <v>1701</v>
      </c>
      <c r="K223" s="2" t="s">
        <v>1118</v>
      </c>
      <c r="L223" s="3" t="s">
        <v>428</v>
      </c>
    </row>
    <row r="224" spans="1:12" x14ac:dyDescent="0.2">
      <c r="A224" s="3">
        <v>223</v>
      </c>
      <c r="B224" s="3" t="s">
        <v>18</v>
      </c>
      <c r="C224" s="3">
        <v>7</v>
      </c>
      <c r="D224" s="3" t="s">
        <v>62</v>
      </c>
      <c r="E224" s="4" t="s">
        <v>1119</v>
      </c>
      <c r="F224" s="2" t="s">
        <v>1120</v>
      </c>
      <c r="G224" s="2" t="s">
        <v>1121</v>
      </c>
      <c r="H224" s="2" t="s">
        <v>1122</v>
      </c>
      <c r="I224" s="2" t="s">
        <v>1123</v>
      </c>
      <c r="J224" s="2" t="s">
        <v>1105</v>
      </c>
      <c r="K224" s="2" t="s">
        <v>1124</v>
      </c>
      <c r="L224" s="3" t="s">
        <v>428</v>
      </c>
    </row>
    <row r="225" spans="1:12" x14ac:dyDescent="0.2">
      <c r="A225" s="3">
        <v>224</v>
      </c>
      <c r="B225" s="3" t="s">
        <v>18</v>
      </c>
      <c r="C225" s="3">
        <v>7</v>
      </c>
      <c r="D225" s="3" t="s">
        <v>8</v>
      </c>
      <c r="E225" s="4" t="s">
        <v>1125</v>
      </c>
      <c r="F225" s="2">
        <v>35.6</v>
      </c>
      <c r="G225" s="2">
        <v>4.8</v>
      </c>
      <c r="H225" s="2">
        <v>2.8</v>
      </c>
      <c r="I225" s="2">
        <v>0</v>
      </c>
      <c r="J225" s="2" t="s">
        <v>1126</v>
      </c>
      <c r="K225" s="2" t="s">
        <v>1127</v>
      </c>
      <c r="L225" s="3" t="s">
        <v>428</v>
      </c>
    </row>
    <row r="226" spans="1:12" x14ac:dyDescent="0.2">
      <c r="A226" s="3">
        <v>225</v>
      </c>
      <c r="B226" s="3" t="s">
        <v>18</v>
      </c>
      <c r="C226" s="3">
        <v>7</v>
      </c>
      <c r="D226" s="3" t="s">
        <v>62</v>
      </c>
      <c r="E226" s="4" t="s">
        <v>1128</v>
      </c>
      <c r="F226" s="2" t="s">
        <v>1129</v>
      </c>
      <c r="G226" s="2" t="s">
        <v>1130</v>
      </c>
      <c r="H226" s="2" t="s">
        <v>1131</v>
      </c>
      <c r="I226" s="2" t="s">
        <v>1132</v>
      </c>
      <c r="J226" s="2" t="s">
        <v>1133</v>
      </c>
      <c r="K226" s="2" t="s">
        <v>1134</v>
      </c>
      <c r="L226" s="3" t="s">
        <v>428</v>
      </c>
    </row>
    <row r="227" spans="1:12" x14ac:dyDescent="0.2">
      <c r="A227" s="3">
        <v>226</v>
      </c>
      <c r="B227" s="3" t="s">
        <v>18</v>
      </c>
      <c r="C227" s="3">
        <v>7</v>
      </c>
      <c r="D227" s="3" t="s">
        <v>8</v>
      </c>
      <c r="E227" s="4" t="s">
        <v>1135</v>
      </c>
      <c r="F227" s="2">
        <v>1800</v>
      </c>
      <c r="G227" s="2">
        <v>1865</v>
      </c>
      <c r="H227" s="2">
        <v>1852</v>
      </c>
      <c r="I227" s="2">
        <v>2055</v>
      </c>
      <c r="J227" s="2" t="s">
        <v>1136</v>
      </c>
      <c r="K227" s="4" t="s">
        <v>1137</v>
      </c>
      <c r="L227" s="3" t="s">
        <v>428</v>
      </c>
    </row>
    <row r="228" spans="1:12" x14ac:dyDescent="0.2">
      <c r="A228" s="3">
        <v>227</v>
      </c>
      <c r="B228" s="3" t="s">
        <v>18</v>
      </c>
      <c r="C228" s="3">
        <v>7</v>
      </c>
      <c r="D228" s="3" t="s">
        <v>62</v>
      </c>
      <c r="E228" s="4" t="s">
        <v>1138</v>
      </c>
      <c r="F228" s="2" t="s">
        <v>1139</v>
      </c>
      <c r="G228" s="2" t="s">
        <v>1140</v>
      </c>
      <c r="H228" s="2" t="s">
        <v>1141</v>
      </c>
      <c r="I228" s="2" t="s">
        <v>1142</v>
      </c>
      <c r="J228" s="2" t="s">
        <v>1143</v>
      </c>
      <c r="K228" s="4" t="s">
        <v>1144</v>
      </c>
      <c r="L228" s="3" t="s">
        <v>428</v>
      </c>
    </row>
    <row r="229" spans="1:12" x14ac:dyDescent="0.2">
      <c r="A229" s="3">
        <v>228</v>
      </c>
      <c r="B229" s="3" t="s">
        <v>18</v>
      </c>
      <c r="C229" s="3">
        <v>7</v>
      </c>
      <c r="D229" s="3" t="s">
        <v>6</v>
      </c>
      <c r="E229" s="4" t="s">
        <v>1145</v>
      </c>
      <c r="J229" s="2" t="s">
        <v>1146</v>
      </c>
      <c r="K229" s="2" t="s">
        <v>1147</v>
      </c>
      <c r="L229" s="3" t="s">
        <v>428</v>
      </c>
    </row>
    <row r="230" spans="1:12" x14ac:dyDescent="0.2">
      <c r="A230" s="3">
        <v>229</v>
      </c>
      <c r="B230" s="3" t="s">
        <v>18</v>
      </c>
      <c r="C230" s="3">
        <v>7</v>
      </c>
      <c r="D230" s="3" t="s">
        <v>6</v>
      </c>
      <c r="E230" s="4" t="s">
        <v>1148</v>
      </c>
      <c r="J230" s="2" t="s">
        <v>13</v>
      </c>
      <c r="K230" s="2" t="s">
        <v>1704</v>
      </c>
      <c r="L230" s="3" t="s">
        <v>428</v>
      </c>
    </row>
    <row r="231" spans="1:12" x14ac:dyDescent="0.2">
      <c r="A231" s="3">
        <v>230</v>
      </c>
      <c r="B231" s="3" t="s">
        <v>18</v>
      </c>
      <c r="C231" s="3">
        <v>7</v>
      </c>
      <c r="D231" s="3" t="s">
        <v>8</v>
      </c>
      <c r="E231" s="4" t="s">
        <v>1149</v>
      </c>
      <c r="F231" s="2">
        <v>1116</v>
      </c>
      <c r="G231" s="2">
        <v>1250</v>
      </c>
      <c r="H231" s="2">
        <v>1209</v>
      </c>
      <c r="I231" s="2">
        <v>1407</v>
      </c>
      <c r="J231" s="2" t="s">
        <v>1150</v>
      </c>
      <c r="K231" s="2" t="s">
        <v>1151</v>
      </c>
      <c r="L231" s="3" t="s">
        <v>428</v>
      </c>
    </row>
    <row r="232" spans="1:12" x14ac:dyDescent="0.2">
      <c r="A232" s="3">
        <v>231</v>
      </c>
      <c r="B232" s="3" t="s">
        <v>18</v>
      </c>
      <c r="C232" s="3">
        <v>7</v>
      </c>
      <c r="D232" s="3" t="s">
        <v>62</v>
      </c>
      <c r="E232" s="4" t="s">
        <v>1152</v>
      </c>
      <c r="F232" s="2" t="s">
        <v>1153</v>
      </c>
      <c r="G232" s="2" t="s">
        <v>1154</v>
      </c>
      <c r="H232" s="2" t="s">
        <v>1155</v>
      </c>
      <c r="I232" s="2" t="s">
        <v>1156</v>
      </c>
      <c r="J232" s="2" t="s">
        <v>1157</v>
      </c>
      <c r="K232" s="2" t="s">
        <v>1158</v>
      </c>
      <c r="L232" s="3" t="s">
        <v>428</v>
      </c>
    </row>
    <row r="233" spans="1:12" x14ac:dyDescent="0.2">
      <c r="A233" s="3">
        <v>232</v>
      </c>
      <c r="B233" s="3" t="s">
        <v>18</v>
      </c>
      <c r="C233" s="3">
        <v>7</v>
      </c>
      <c r="D233" s="3" t="s">
        <v>6</v>
      </c>
      <c r="E233" s="4" t="s">
        <v>1159</v>
      </c>
      <c r="J233" s="2" t="s">
        <v>13</v>
      </c>
      <c r="K233" s="2" t="s">
        <v>1160</v>
      </c>
      <c r="L233" s="3" t="s">
        <v>428</v>
      </c>
    </row>
    <row r="234" spans="1:12" x14ac:dyDescent="0.2">
      <c r="A234" s="3">
        <v>233</v>
      </c>
      <c r="B234" s="3" t="s">
        <v>18</v>
      </c>
      <c r="C234" s="3">
        <v>7</v>
      </c>
      <c r="D234" s="3" t="s">
        <v>62</v>
      </c>
      <c r="E234" s="4" t="s">
        <v>1161</v>
      </c>
      <c r="F234" s="2" t="s">
        <v>1162</v>
      </c>
      <c r="G234" s="2" t="s">
        <v>1163</v>
      </c>
      <c r="H234" s="2" t="s">
        <v>1164</v>
      </c>
      <c r="I234" s="2" t="s">
        <v>1165</v>
      </c>
      <c r="J234" s="2" t="s">
        <v>1166</v>
      </c>
      <c r="K234" s="4" t="s">
        <v>1167</v>
      </c>
      <c r="L234" s="3" t="s">
        <v>428</v>
      </c>
    </row>
    <row r="235" spans="1:12" x14ac:dyDescent="0.2">
      <c r="A235" s="3">
        <v>234</v>
      </c>
      <c r="B235" s="3" t="s">
        <v>18</v>
      </c>
      <c r="C235" s="3">
        <v>7</v>
      </c>
      <c r="D235" s="3" t="s">
        <v>8</v>
      </c>
      <c r="E235" s="4" t="s">
        <v>1168</v>
      </c>
      <c r="F235" s="2" t="s">
        <v>1169</v>
      </c>
      <c r="G235" s="2" t="s">
        <v>1170</v>
      </c>
      <c r="H235" s="2" t="s">
        <v>1171</v>
      </c>
      <c r="I235" s="2" t="s">
        <v>1172</v>
      </c>
      <c r="J235" s="2" t="s">
        <v>1173</v>
      </c>
      <c r="K235" s="2" t="s">
        <v>1174</v>
      </c>
      <c r="L235" s="3" t="s">
        <v>428</v>
      </c>
    </row>
    <row r="236" spans="1:12" x14ac:dyDescent="0.2">
      <c r="A236" s="3">
        <v>235</v>
      </c>
      <c r="B236" s="3" t="s">
        <v>18</v>
      </c>
      <c r="C236" s="3">
        <v>7</v>
      </c>
      <c r="D236" s="3" t="s">
        <v>62</v>
      </c>
      <c r="E236" s="4" t="s">
        <v>1175</v>
      </c>
      <c r="F236" s="2" t="s">
        <v>1176</v>
      </c>
      <c r="G236" s="2" t="s">
        <v>1177</v>
      </c>
      <c r="H236" s="2" t="s">
        <v>1178</v>
      </c>
      <c r="I236" s="2" t="s">
        <v>1179</v>
      </c>
      <c r="J236" s="2" t="s">
        <v>1117</v>
      </c>
      <c r="K236" s="4" t="s">
        <v>1180</v>
      </c>
      <c r="L236" s="3" t="s">
        <v>428</v>
      </c>
    </row>
    <row r="237" spans="1:12" x14ac:dyDescent="0.2">
      <c r="A237" s="3">
        <v>236</v>
      </c>
      <c r="B237" s="3" t="s">
        <v>18</v>
      </c>
      <c r="C237" s="3">
        <v>7</v>
      </c>
      <c r="D237" s="3" t="s">
        <v>6</v>
      </c>
      <c r="E237" s="4" t="s">
        <v>1181</v>
      </c>
      <c r="J237" s="2" t="s">
        <v>1146</v>
      </c>
      <c r="K237" s="2" t="s">
        <v>1182</v>
      </c>
      <c r="L237" s="3" t="s">
        <v>428</v>
      </c>
    </row>
    <row r="238" spans="1:12" x14ac:dyDescent="0.2">
      <c r="A238" s="3">
        <v>237</v>
      </c>
      <c r="B238" s="3" t="s">
        <v>18</v>
      </c>
      <c r="C238" s="3">
        <v>8</v>
      </c>
      <c r="D238" s="3" t="s">
        <v>8</v>
      </c>
      <c r="E238" s="4" t="s">
        <v>1183</v>
      </c>
      <c r="F238" s="2" t="s">
        <v>1184</v>
      </c>
      <c r="G238" s="2" t="s">
        <v>1185</v>
      </c>
      <c r="H238" s="2" t="s">
        <v>1186</v>
      </c>
      <c r="I238" s="2" t="s">
        <v>1187</v>
      </c>
      <c r="J238" s="2" t="s">
        <v>1194</v>
      </c>
      <c r="K238" s="2" t="s">
        <v>1188</v>
      </c>
      <c r="L238" s="3" t="s">
        <v>428</v>
      </c>
    </row>
    <row r="239" spans="1:12" x14ac:dyDescent="0.2">
      <c r="A239" s="3">
        <v>238</v>
      </c>
      <c r="B239" s="3" t="s">
        <v>18</v>
      </c>
      <c r="C239" s="3">
        <v>8</v>
      </c>
      <c r="D239" s="3" t="s">
        <v>8</v>
      </c>
      <c r="E239" s="4" t="s">
        <v>1189</v>
      </c>
      <c r="F239" s="2" t="s">
        <v>1190</v>
      </c>
      <c r="G239" s="2" t="s">
        <v>1191</v>
      </c>
      <c r="H239" s="2" t="s">
        <v>1192</v>
      </c>
      <c r="I239" s="2" t="s">
        <v>1193</v>
      </c>
      <c r="J239" s="2" t="s">
        <v>1195</v>
      </c>
      <c r="K239" s="2" t="s">
        <v>1196</v>
      </c>
      <c r="L239" s="3" t="s">
        <v>428</v>
      </c>
    </row>
    <row r="240" spans="1:12" x14ac:dyDescent="0.2">
      <c r="A240" s="3">
        <v>239</v>
      </c>
      <c r="B240" s="3" t="s">
        <v>18</v>
      </c>
      <c r="C240" s="3">
        <v>8</v>
      </c>
      <c r="D240" s="3" t="s">
        <v>62</v>
      </c>
      <c r="E240" s="4" t="s">
        <v>1197</v>
      </c>
      <c r="F240" s="2" t="s">
        <v>1198</v>
      </c>
      <c r="G240" s="2" t="s">
        <v>1199</v>
      </c>
      <c r="H240" s="2" t="s">
        <v>1200</v>
      </c>
      <c r="I240" s="2" t="s">
        <v>1201</v>
      </c>
      <c r="J240" s="2" t="s">
        <v>1203</v>
      </c>
      <c r="K240" s="2" t="s">
        <v>1202</v>
      </c>
      <c r="L240" s="3" t="s">
        <v>428</v>
      </c>
    </row>
    <row r="241" spans="1:12" x14ac:dyDescent="0.2">
      <c r="A241" s="3">
        <v>240</v>
      </c>
      <c r="B241" s="3" t="s">
        <v>18</v>
      </c>
      <c r="C241" s="3">
        <v>8</v>
      </c>
      <c r="D241" s="3" t="s">
        <v>6</v>
      </c>
      <c r="E241" s="4" t="s">
        <v>1204</v>
      </c>
      <c r="J241" s="2" t="s">
        <v>1205</v>
      </c>
      <c r="K241" s="2" t="s">
        <v>1206</v>
      </c>
      <c r="L241" s="3" t="s">
        <v>428</v>
      </c>
    </row>
    <row r="242" spans="1:12" x14ac:dyDescent="0.2">
      <c r="A242" s="3">
        <v>241</v>
      </c>
      <c r="B242" s="3" t="s">
        <v>18</v>
      </c>
      <c r="C242" s="3">
        <v>8</v>
      </c>
      <c r="D242" s="3" t="s">
        <v>6</v>
      </c>
      <c r="E242" s="4" t="s">
        <v>1207</v>
      </c>
      <c r="J242" s="2" t="s">
        <v>1146</v>
      </c>
      <c r="K242" s="2" t="s">
        <v>1208</v>
      </c>
      <c r="L242" s="3" t="s">
        <v>428</v>
      </c>
    </row>
    <row r="243" spans="1:12" x14ac:dyDescent="0.2">
      <c r="A243" s="3">
        <v>242</v>
      </c>
      <c r="B243" s="3" t="s">
        <v>18</v>
      </c>
      <c r="C243" s="3">
        <v>8</v>
      </c>
      <c r="D243" s="3" t="s">
        <v>6</v>
      </c>
      <c r="E243" s="4" t="s">
        <v>1209</v>
      </c>
      <c r="J243" s="2" t="s">
        <v>1205</v>
      </c>
      <c r="K243" s="2" t="s">
        <v>1210</v>
      </c>
      <c r="L243" s="3" t="s">
        <v>428</v>
      </c>
    </row>
    <row r="244" spans="1:12" x14ac:dyDescent="0.2">
      <c r="A244" s="3">
        <v>243</v>
      </c>
      <c r="B244" s="3" t="s">
        <v>18</v>
      </c>
      <c r="C244" s="3">
        <v>8</v>
      </c>
      <c r="D244" s="3" t="s">
        <v>8</v>
      </c>
      <c r="E244" s="4" t="s">
        <v>1211</v>
      </c>
      <c r="F244" s="2">
        <v>24.66</v>
      </c>
      <c r="G244" s="2">
        <v>125.34</v>
      </c>
      <c r="H244" s="2">
        <v>120</v>
      </c>
      <c r="I244" s="2">
        <v>150</v>
      </c>
      <c r="J244" s="2" t="s">
        <v>1212</v>
      </c>
      <c r="K244" s="2" t="s">
        <v>1213</v>
      </c>
      <c r="L244" s="3" t="s">
        <v>428</v>
      </c>
    </row>
    <row r="245" spans="1:12" x14ac:dyDescent="0.2">
      <c r="A245" s="3">
        <v>244</v>
      </c>
      <c r="B245" s="3" t="s">
        <v>18</v>
      </c>
      <c r="C245" s="3">
        <v>8</v>
      </c>
      <c r="D245" s="3" t="s">
        <v>8</v>
      </c>
      <c r="E245" s="4" t="s">
        <v>1214</v>
      </c>
      <c r="F245" s="2">
        <v>580</v>
      </c>
      <c r="G245" s="2">
        <v>600</v>
      </c>
      <c r="H245" s="2">
        <v>10</v>
      </c>
      <c r="I245" s="2">
        <v>590</v>
      </c>
      <c r="J245" s="2" t="s">
        <v>1215</v>
      </c>
      <c r="K245" s="2" t="s">
        <v>1216</v>
      </c>
      <c r="L245" s="3" t="s">
        <v>428</v>
      </c>
    </row>
    <row r="246" spans="1:12" x14ac:dyDescent="0.2">
      <c r="A246" s="3">
        <v>245</v>
      </c>
      <c r="B246" s="3" t="s">
        <v>18</v>
      </c>
      <c r="C246" s="3">
        <v>8</v>
      </c>
      <c r="D246" s="3" t="s">
        <v>8</v>
      </c>
      <c r="E246" s="4" t="s">
        <v>1217</v>
      </c>
      <c r="F246" s="2">
        <v>14</v>
      </c>
      <c r="G246" s="2">
        <v>15</v>
      </c>
      <c r="H246" s="2">
        <v>19</v>
      </c>
      <c r="I246" s="2">
        <v>20</v>
      </c>
      <c r="J246" s="2" t="s">
        <v>1218</v>
      </c>
      <c r="K246" s="2" t="s">
        <v>1219</v>
      </c>
      <c r="L246" s="3" t="s">
        <v>428</v>
      </c>
    </row>
    <row r="247" spans="1:12" x14ac:dyDescent="0.2">
      <c r="A247" s="3">
        <v>246</v>
      </c>
      <c r="B247" s="3" t="s">
        <v>18</v>
      </c>
      <c r="C247" s="3">
        <v>8</v>
      </c>
      <c r="D247" s="3" t="s">
        <v>8</v>
      </c>
      <c r="E247" s="4" t="s">
        <v>1220</v>
      </c>
      <c r="F247" s="2" t="s">
        <v>1221</v>
      </c>
      <c r="G247" s="2" t="s">
        <v>1222</v>
      </c>
      <c r="H247" s="2" t="s">
        <v>1223</v>
      </c>
      <c r="I247" s="2" t="s">
        <v>1224</v>
      </c>
      <c r="J247" s="2" t="s">
        <v>1225</v>
      </c>
      <c r="K247" s="4" t="s">
        <v>1226</v>
      </c>
      <c r="L247" s="3" t="s">
        <v>428</v>
      </c>
    </row>
    <row r="248" spans="1:12" x14ac:dyDescent="0.2">
      <c r="A248" s="3">
        <v>247</v>
      </c>
      <c r="B248" s="3" t="s">
        <v>18</v>
      </c>
      <c r="C248" s="3">
        <v>8</v>
      </c>
      <c r="D248" s="3" t="s">
        <v>8</v>
      </c>
      <c r="E248" s="4" t="s">
        <v>1227</v>
      </c>
      <c r="F248" s="2">
        <v>1082.83</v>
      </c>
      <c r="G248" s="2">
        <v>1150</v>
      </c>
      <c r="H248" s="2">
        <v>1082.53</v>
      </c>
      <c r="I248" s="2">
        <v>1200</v>
      </c>
      <c r="J248" s="2" t="s">
        <v>1173</v>
      </c>
      <c r="K248" s="4" t="s">
        <v>1228</v>
      </c>
      <c r="L248" s="3" t="s">
        <v>428</v>
      </c>
    </row>
    <row r="249" spans="1:12" x14ac:dyDescent="0.2">
      <c r="A249" s="3">
        <v>248</v>
      </c>
      <c r="B249" s="3" t="s">
        <v>18</v>
      </c>
      <c r="C249" s="3">
        <v>8</v>
      </c>
      <c r="D249" s="3" t="s">
        <v>62</v>
      </c>
      <c r="E249" s="4" t="s">
        <v>1229</v>
      </c>
      <c r="F249" s="2" t="s">
        <v>1230</v>
      </c>
      <c r="G249" s="2" t="s">
        <v>1231</v>
      </c>
      <c r="H249" s="2" t="s">
        <v>1232</v>
      </c>
      <c r="I249" s="2" t="s">
        <v>1233</v>
      </c>
      <c r="J249" s="2" t="s">
        <v>1166</v>
      </c>
      <c r="K249" s="2" t="s">
        <v>1234</v>
      </c>
      <c r="L249" s="3" t="s">
        <v>428</v>
      </c>
    </row>
    <row r="250" spans="1:12" x14ac:dyDescent="0.2">
      <c r="A250" s="3">
        <v>249</v>
      </c>
      <c r="B250" s="3" t="s">
        <v>18</v>
      </c>
      <c r="C250" s="3">
        <v>8</v>
      </c>
      <c r="D250" s="3" t="s">
        <v>62</v>
      </c>
      <c r="E250" s="4" t="s">
        <v>1235</v>
      </c>
      <c r="F250" s="2" t="s">
        <v>1236</v>
      </c>
      <c r="G250" s="2" t="s">
        <v>1237</v>
      </c>
      <c r="H250" s="2" t="s">
        <v>1238</v>
      </c>
      <c r="I250" s="2" t="s">
        <v>1239</v>
      </c>
      <c r="J250" s="2" t="s">
        <v>1105</v>
      </c>
      <c r="K250" s="2" t="s">
        <v>1240</v>
      </c>
      <c r="L250" s="3" t="s">
        <v>428</v>
      </c>
    </row>
    <row r="251" spans="1:12" x14ac:dyDescent="0.2">
      <c r="A251" s="3">
        <v>250</v>
      </c>
      <c r="B251" s="3" t="s">
        <v>18</v>
      </c>
      <c r="C251" s="3">
        <v>8</v>
      </c>
      <c r="D251" s="3" t="s">
        <v>8</v>
      </c>
      <c r="E251" s="4" t="s">
        <v>1241</v>
      </c>
      <c r="F251" s="2">
        <v>8000000</v>
      </c>
      <c r="G251" s="2">
        <v>8384000</v>
      </c>
      <c r="H251" s="2">
        <v>8367720</v>
      </c>
      <c r="I251" s="2">
        <v>8392000</v>
      </c>
      <c r="J251" s="2" t="s">
        <v>1242</v>
      </c>
      <c r="K251" s="2" t="s">
        <v>1243</v>
      </c>
      <c r="L251" s="3" t="s">
        <v>428</v>
      </c>
    </row>
    <row r="252" spans="1:12" x14ac:dyDescent="0.2">
      <c r="A252" s="3">
        <v>251</v>
      </c>
      <c r="B252" s="3" t="s">
        <v>18</v>
      </c>
      <c r="C252" s="3">
        <v>8</v>
      </c>
      <c r="D252" s="3" t="s">
        <v>8</v>
      </c>
      <c r="E252" s="4" t="s">
        <v>1244</v>
      </c>
      <c r="F252" s="2">
        <v>576</v>
      </c>
      <c r="G252" s="2">
        <v>544</v>
      </c>
      <c r="H252" s="2">
        <v>160</v>
      </c>
      <c r="I252" s="2">
        <v>560</v>
      </c>
      <c r="J252" s="2" t="s">
        <v>1245</v>
      </c>
      <c r="K252" s="2" t="s">
        <v>1246</v>
      </c>
      <c r="L252" s="3" t="s">
        <v>428</v>
      </c>
    </row>
    <row r="253" spans="1:12" x14ac:dyDescent="0.2">
      <c r="A253" s="3">
        <v>252</v>
      </c>
      <c r="B253" s="3" t="s">
        <v>18</v>
      </c>
      <c r="C253" s="3">
        <v>8</v>
      </c>
      <c r="D253" s="3" t="s">
        <v>8</v>
      </c>
      <c r="E253" s="4" t="s">
        <v>1247</v>
      </c>
      <c r="F253" s="2">
        <v>10.4</v>
      </c>
      <c r="G253" s="2">
        <v>15.4</v>
      </c>
      <c r="H253" s="2">
        <v>4.5999999999999996</v>
      </c>
      <c r="I253" s="2">
        <v>20</v>
      </c>
      <c r="J253" s="2" t="s">
        <v>1136</v>
      </c>
      <c r="K253" s="2" t="s">
        <v>1248</v>
      </c>
      <c r="L253" s="3" t="s">
        <v>428</v>
      </c>
    </row>
    <row r="254" spans="1:12" x14ac:dyDescent="0.2">
      <c r="A254" s="3">
        <v>253</v>
      </c>
      <c r="B254" s="3" t="s">
        <v>18</v>
      </c>
      <c r="C254" s="3">
        <v>8</v>
      </c>
      <c r="D254" s="3" t="s">
        <v>8</v>
      </c>
      <c r="E254" s="4" t="s">
        <v>1249</v>
      </c>
      <c r="F254" s="2">
        <v>12500</v>
      </c>
      <c r="G254" s="2">
        <v>19500</v>
      </c>
      <c r="H254" s="2">
        <v>19400</v>
      </c>
      <c r="I254" s="2">
        <v>7000</v>
      </c>
      <c r="J254" s="2" t="s">
        <v>1251</v>
      </c>
      <c r="K254" s="2" t="s">
        <v>1250</v>
      </c>
      <c r="L254" s="3" t="s">
        <v>428</v>
      </c>
    </row>
    <row r="255" spans="1:12" x14ac:dyDescent="0.2">
      <c r="A255" s="3">
        <v>254</v>
      </c>
      <c r="B255" s="3" t="s">
        <v>18</v>
      </c>
      <c r="C255" s="3">
        <v>8</v>
      </c>
      <c r="D255" s="3" t="s">
        <v>62</v>
      </c>
      <c r="E255" s="4" t="s">
        <v>1252</v>
      </c>
      <c r="F255" s="2" t="s">
        <v>1253</v>
      </c>
      <c r="G255" s="2" t="s">
        <v>1254</v>
      </c>
      <c r="H255" s="2" t="s">
        <v>1255</v>
      </c>
      <c r="I255" s="2" t="s">
        <v>1256</v>
      </c>
      <c r="J255" s="2" t="s">
        <v>1117</v>
      </c>
      <c r="K255" s="2" t="s">
        <v>1257</v>
      </c>
      <c r="L255" s="3" t="s">
        <v>428</v>
      </c>
    </row>
    <row r="256" spans="1:12" x14ac:dyDescent="0.2">
      <c r="A256" s="3">
        <v>255</v>
      </c>
      <c r="B256" s="3" t="s">
        <v>18</v>
      </c>
      <c r="C256" s="3">
        <v>8</v>
      </c>
      <c r="D256" s="3" t="s">
        <v>8</v>
      </c>
      <c r="E256" s="4" t="s">
        <v>1258</v>
      </c>
      <c r="F256" s="2" t="s">
        <v>1259</v>
      </c>
      <c r="G256" s="2" t="s">
        <v>1260</v>
      </c>
      <c r="H256" s="2" t="s">
        <v>1261</v>
      </c>
      <c r="I256" s="2" t="s">
        <v>1262</v>
      </c>
      <c r="J256" s="2" t="s">
        <v>1173</v>
      </c>
      <c r="K256" s="2" t="s">
        <v>1263</v>
      </c>
      <c r="L256" s="3" t="s">
        <v>428</v>
      </c>
    </row>
    <row r="257" spans="1:12" x14ac:dyDescent="0.2">
      <c r="A257" s="3">
        <v>256</v>
      </c>
      <c r="B257" s="3" t="s">
        <v>18</v>
      </c>
      <c r="C257" s="3">
        <v>8</v>
      </c>
      <c r="D257" s="3" t="s">
        <v>62</v>
      </c>
      <c r="E257" s="4" t="s">
        <v>1264</v>
      </c>
      <c r="F257" s="2" t="s">
        <v>1265</v>
      </c>
      <c r="G257" s="2" t="s">
        <v>1266</v>
      </c>
      <c r="H257" s="2" t="s">
        <v>1267</v>
      </c>
      <c r="I257" s="2" t="s">
        <v>1268</v>
      </c>
      <c r="J257" s="2" t="s">
        <v>1269</v>
      </c>
      <c r="K257" s="2" t="s">
        <v>1270</v>
      </c>
      <c r="L257" s="3" t="s">
        <v>428</v>
      </c>
    </row>
    <row r="258" spans="1:12" x14ac:dyDescent="0.2">
      <c r="A258" s="3">
        <v>257</v>
      </c>
      <c r="B258" s="3" t="s">
        <v>18</v>
      </c>
      <c r="C258" s="3">
        <v>8</v>
      </c>
      <c r="D258" s="3" t="s">
        <v>62</v>
      </c>
      <c r="E258" s="4" t="s">
        <v>1271</v>
      </c>
      <c r="F258" s="2" t="s">
        <v>1272</v>
      </c>
      <c r="G258" s="2" t="s">
        <v>1273</v>
      </c>
      <c r="H258" s="2" t="s">
        <v>1274</v>
      </c>
      <c r="I258" s="2" t="s">
        <v>1275</v>
      </c>
      <c r="J258" s="2" t="s">
        <v>1276</v>
      </c>
      <c r="K258" s="2" t="s">
        <v>1277</v>
      </c>
      <c r="L258" s="3" t="s">
        <v>428</v>
      </c>
    </row>
    <row r="259" spans="1:12" x14ac:dyDescent="0.2">
      <c r="A259" s="3">
        <v>258</v>
      </c>
      <c r="B259" s="3" t="s">
        <v>18</v>
      </c>
      <c r="C259" s="3">
        <v>8</v>
      </c>
      <c r="D259" s="3" t="s">
        <v>62</v>
      </c>
      <c r="E259" s="4" t="s">
        <v>1278</v>
      </c>
      <c r="F259" s="2" t="s">
        <v>1279</v>
      </c>
      <c r="G259" s="2" t="s">
        <v>1280</v>
      </c>
      <c r="H259" s="2" t="s">
        <v>1281</v>
      </c>
      <c r="I259" s="2" t="s">
        <v>1282</v>
      </c>
      <c r="J259" s="2" t="s">
        <v>1133</v>
      </c>
      <c r="K259" s="2" t="s">
        <v>1283</v>
      </c>
      <c r="L259" s="3" t="s">
        <v>428</v>
      </c>
    </row>
    <row r="260" spans="1:12" x14ac:dyDescent="0.2">
      <c r="A260" s="3">
        <v>259</v>
      </c>
      <c r="B260" s="3" t="s">
        <v>18</v>
      </c>
      <c r="C260" s="3">
        <v>8</v>
      </c>
      <c r="D260" s="3" t="s">
        <v>6</v>
      </c>
      <c r="E260" s="4" t="s">
        <v>1284</v>
      </c>
      <c r="J260" s="2" t="s">
        <v>1146</v>
      </c>
      <c r="K260" s="2" t="s">
        <v>1285</v>
      </c>
      <c r="L260" s="3" t="s">
        <v>428</v>
      </c>
    </row>
    <row r="261" spans="1:12" x14ac:dyDescent="0.2">
      <c r="A261" s="3">
        <v>260</v>
      </c>
      <c r="B261" s="3" t="s">
        <v>18</v>
      </c>
      <c r="C261" s="3">
        <v>8</v>
      </c>
      <c r="D261" s="3" t="s">
        <v>6</v>
      </c>
      <c r="E261" s="4" t="s">
        <v>1286</v>
      </c>
      <c r="J261" s="2" t="s">
        <v>1205</v>
      </c>
      <c r="K261" s="2" t="s">
        <v>1287</v>
      </c>
      <c r="L261" s="3" t="s">
        <v>428</v>
      </c>
    </row>
    <row r="262" spans="1:12" x14ac:dyDescent="0.2">
      <c r="A262" s="3">
        <v>261</v>
      </c>
      <c r="B262" s="3" t="s">
        <v>18</v>
      </c>
      <c r="C262" s="3">
        <v>8</v>
      </c>
      <c r="D262" s="3" t="s">
        <v>6</v>
      </c>
      <c r="E262" s="4" t="s">
        <v>1288</v>
      </c>
      <c r="J262" s="2" t="s">
        <v>1205</v>
      </c>
      <c r="K262" s="2" t="s">
        <v>1289</v>
      </c>
      <c r="L262" s="3" t="s">
        <v>428</v>
      </c>
    </row>
    <row r="263" spans="1:12" x14ac:dyDescent="0.2">
      <c r="A263" s="3">
        <v>262</v>
      </c>
      <c r="B263" s="3" t="s">
        <v>18</v>
      </c>
      <c r="C263" s="3">
        <v>9</v>
      </c>
      <c r="D263" s="3" t="s">
        <v>8</v>
      </c>
      <c r="E263" s="4" t="s">
        <v>1290</v>
      </c>
      <c r="F263" s="2">
        <v>18</v>
      </c>
      <c r="G263" s="2">
        <v>13.92</v>
      </c>
      <c r="H263" s="2">
        <v>12</v>
      </c>
      <c r="I263" s="2">
        <v>20.34</v>
      </c>
      <c r="J263" s="2" t="s">
        <v>1245</v>
      </c>
      <c r="K263" s="2" t="s">
        <v>1291</v>
      </c>
      <c r="L263" s="3" t="s">
        <v>428</v>
      </c>
    </row>
    <row r="264" spans="1:12" x14ac:dyDescent="0.2">
      <c r="A264" s="3">
        <v>263</v>
      </c>
      <c r="B264" s="3" t="s">
        <v>18</v>
      </c>
      <c r="C264" s="3">
        <v>9</v>
      </c>
      <c r="D264" s="3" t="s">
        <v>62</v>
      </c>
      <c r="E264" s="4" t="s">
        <v>1292</v>
      </c>
      <c r="F264" s="2" t="s">
        <v>1294</v>
      </c>
      <c r="G264" s="2" t="s">
        <v>1295</v>
      </c>
      <c r="H264" s="2" t="s">
        <v>1296</v>
      </c>
      <c r="I264" s="2" t="s">
        <v>1297</v>
      </c>
      <c r="J264" s="2" t="s">
        <v>1293</v>
      </c>
      <c r="K264" s="2" t="s">
        <v>1298</v>
      </c>
      <c r="L264" s="3" t="s">
        <v>428</v>
      </c>
    </row>
    <row r="265" spans="1:12" x14ac:dyDescent="0.2">
      <c r="A265" s="3">
        <v>264</v>
      </c>
      <c r="B265" s="3" t="s">
        <v>18</v>
      </c>
      <c r="C265" s="3">
        <v>9</v>
      </c>
      <c r="D265" s="3" t="s">
        <v>62</v>
      </c>
      <c r="E265" s="4" t="s">
        <v>1299</v>
      </c>
      <c r="F265" s="2" t="s">
        <v>1300</v>
      </c>
      <c r="G265" s="2" t="s">
        <v>1301</v>
      </c>
      <c r="H265" s="2" t="s">
        <v>1302</v>
      </c>
      <c r="I265" s="2" t="s">
        <v>1303</v>
      </c>
      <c r="J265" s="2" t="s">
        <v>1080</v>
      </c>
      <c r="K265" s="2" t="s">
        <v>1304</v>
      </c>
      <c r="L265" s="3" t="s">
        <v>428</v>
      </c>
    </row>
    <row r="266" spans="1:12" x14ac:dyDescent="0.2">
      <c r="A266" s="3">
        <v>265</v>
      </c>
      <c r="B266" s="3" t="s">
        <v>18</v>
      </c>
      <c r="C266" s="3">
        <v>9</v>
      </c>
      <c r="D266" s="3" t="s">
        <v>6</v>
      </c>
      <c r="E266" s="4" t="s">
        <v>1305</v>
      </c>
      <c r="J266" s="2" t="s">
        <v>1205</v>
      </c>
      <c r="K266" s="2" t="s">
        <v>1306</v>
      </c>
      <c r="L266" s="3" t="s">
        <v>428</v>
      </c>
    </row>
    <row r="267" spans="1:12" x14ac:dyDescent="0.2">
      <c r="A267" s="3">
        <v>266</v>
      </c>
      <c r="B267" s="3" t="s">
        <v>18</v>
      </c>
      <c r="C267" s="3">
        <v>9</v>
      </c>
      <c r="D267" s="3" t="s">
        <v>6</v>
      </c>
      <c r="E267" s="4" t="s">
        <v>1307</v>
      </c>
      <c r="J267" s="2" t="s">
        <v>1205</v>
      </c>
      <c r="K267" s="2" t="s">
        <v>1308</v>
      </c>
      <c r="L267" s="3" t="s">
        <v>428</v>
      </c>
    </row>
    <row r="268" spans="1:12" x14ac:dyDescent="0.2">
      <c r="A268" s="3">
        <v>267</v>
      </c>
      <c r="B268" s="3" t="s">
        <v>18</v>
      </c>
      <c r="C268" s="3">
        <v>9</v>
      </c>
      <c r="D268" s="3" t="s">
        <v>8</v>
      </c>
      <c r="E268" s="4" t="s">
        <v>1309</v>
      </c>
      <c r="F268" s="2">
        <v>1123200</v>
      </c>
      <c r="G268" s="2">
        <v>1076400</v>
      </c>
      <c r="H268" s="2">
        <v>-79100</v>
      </c>
      <c r="I268" s="2">
        <v>1345500</v>
      </c>
      <c r="J268" s="2" t="s">
        <v>1310</v>
      </c>
      <c r="K268" s="4" t="s">
        <v>1311</v>
      </c>
      <c r="L268" s="3" t="s">
        <v>428</v>
      </c>
    </row>
    <row r="269" spans="1:12" x14ac:dyDescent="0.2">
      <c r="A269" s="3">
        <v>268</v>
      </c>
      <c r="B269" s="3" t="s">
        <v>18</v>
      </c>
      <c r="C269" s="3">
        <v>9</v>
      </c>
      <c r="D269" s="3" t="s">
        <v>6</v>
      </c>
      <c r="E269" s="4" t="s">
        <v>1312</v>
      </c>
      <c r="J269" s="2" t="s">
        <v>1146</v>
      </c>
      <c r="K269" s="2" t="s">
        <v>1313</v>
      </c>
      <c r="L269" s="3" t="s">
        <v>428</v>
      </c>
    </row>
    <row r="270" spans="1:12" x14ac:dyDescent="0.2">
      <c r="A270" s="3">
        <v>269</v>
      </c>
      <c r="B270" s="3" t="s">
        <v>18</v>
      </c>
      <c r="C270" s="3">
        <v>9</v>
      </c>
      <c r="D270" s="3" t="s">
        <v>6</v>
      </c>
      <c r="E270" s="4" t="s">
        <v>1314</v>
      </c>
      <c r="J270" s="2" t="s">
        <v>1146</v>
      </c>
      <c r="K270" s="2" t="s">
        <v>1315</v>
      </c>
      <c r="L270" s="3" t="s">
        <v>428</v>
      </c>
    </row>
    <row r="271" spans="1:12" x14ac:dyDescent="0.2">
      <c r="A271" s="3">
        <v>270</v>
      </c>
      <c r="B271" s="3" t="s">
        <v>18</v>
      </c>
      <c r="C271" s="3">
        <v>9</v>
      </c>
      <c r="D271" s="3" t="s">
        <v>8</v>
      </c>
      <c r="E271" s="4" t="s">
        <v>1316</v>
      </c>
      <c r="F271" s="2" t="s">
        <v>1317</v>
      </c>
      <c r="G271" s="2" t="s">
        <v>1318</v>
      </c>
      <c r="H271" s="2" t="s">
        <v>1319</v>
      </c>
      <c r="I271" s="2" t="s">
        <v>1320</v>
      </c>
      <c r="J271" s="2" t="s">
        <v>1321</v>
      </c>
      <c r="K271" s="4" t="s">
        <v>1322</v>
      </c>
      <c r="L271" s="3" t="s">
        <v>428</v>
      </c>
    </row>
    <row r="272" spans="1:12" x14ac:dyDescent="0.2">
      <c r="A272" s="3">
        <v>271</v>
      </c>
      <c r="B272" s="3" t="s">
        <v>18</v>
      </c>
      <c r="C272" s="3">
        <v>9</v>
      </c>
      <c r="D272" s="3" t="s">
        <v>8</v>
      </c>
      <c r="E272" s="4" t="s">
        <v>1323</v>
      </c>
      <c r="F272" s="2" t="s">
        <v>1324</v>
      </c>
      <c r="G272" s="2" t="s">
        <v>1325</v>
      </c>
      <c r="H272" s="2" t="s">
        <v>1326</v>
      </c>
      <c r="I272" s="2" t="s">
        <v>1327</v>
      </c>
      <c r="J272" s="2" t="s">
        <v>1328</v>
      </c>
      <c r="K272" s="2" t="s">
        <v>1329</v>
      </c>
      <c r="L272" s="3" t="s">
        <v>428</v>
      </c>
    </row>
    <row r="273" spans="1:12" x14ac:dyDescent="0.2">
      <c r="A273" s="3">
        <v>272</v>
      </c>
      <c r="B273" s="3" t="s">
        <v>18</v>
      </c>
      <c r="C273" s="3">
        <v>9</v>
      </c>
      <c r="D273" s="3" t="s">
        <v>62</v>
      </c>
      <c r="E273" s="4" t="s">
        <v>1330</v>
      </c>
      <c r="F273" s="2" t="s">
        <v>1331</v>
      </c>
      <c r="G273" s="2" t="s">
        <v>1332</v>
      </c>
      <c r="H273" s="2" t="s">
        <v>1333</v>
      </c>
      <c r="I273" s="2" t="s">
        <v>1334</v>
      </c>
      <c r="J273" s="2" t="s">
        <v>1335</v>
      </c>
      <c r="K273" s="4" t="s">
        <v>1336</v>
      </c>
      <c r="L273" s="3" t="s">
        <v>428</v>
      </c>
    </row>
    <row r="274" spans="1:12" x14ac:dyDescent="0.2">
      <c r="A274" s="3">
        <v>273</v>
      </c>
      <c r="B274" s="3" t="s">
        <v>18</v>
      </c>
      <c r="C274" s="3">
        <v>9</v>
      </c>
      <c r="D274" s="3" t="s">
        <v>62</v>
      </c>
      <c r="E274" s="4" t="s">
        <v>1337</v>
      </c>
      <c r="F274" s="2" t="s">
        <v>1338</v>
      </c>
      <c r="G274" s="2" t="s">
        <v>1339</v>
      </c>
      <c r="H274" s="2" t="s">
        <v>1340</v>
      </c>
      <c r="I274" s="2" t="s">
        <v>1341</v>
      </c>
      <c r="J274" s="2" t="s">
        <v>1342</v>
      </c>
      <c r="K274" s="4" t="s">
        <v>1343</v>
      </c>
      <c r="L274" s="3" t="s">
        <v>428</v>
      </c>
    </row>
    <row r="275" spans="1:12" x14ac:dyDescent="0.2">
      <c r="A275" s="3">
        <v>274</v>
      </c>
      <c r="B275" s="3" t="s">
        <v>18</v>
      </c>
      <c r="C275" s="3">
        <v>9</v>
      </c>
      <c r="D275" s="3" t="s">
        <v>62</v>
      </c>
      <c r="E275" s="4" t="s">
        <v>1344</v>
      </c>
      <c r="F275" s="2" t="s">
        <v>1345</v>
      </c>
      <c r="G275" s="2" t="s">
        <v>1346</v>
      </c>
      <c r="H275" s="2" t="s">
        <v>1347</v>
      </c>
      <c r="I275" s="2" t="s">
        <v>1348</v>
      </c>
      <c r="J275" s="2" t="s">
        <v>1349</v>
      </c>
      <c r="K275" s="4" t="s">
        <v>1350</v>
      </c>
      <c r="L275" s="3" t="s">
        <v>428</v>
      </c>
    </row>
    <row r="276" spans="1:12" x14ac:dyDescent="0.2">
      <c r="A276" s="3">
        <v>275</v>
      </c>
      <c r="B276" s="3" t="s">
        <v>18</v>
      </c>
      <c r="C276" s="3">
        <v>9</v>
      </c>
      <c r="D276" s="3" t="s">
        <v>8</v>
      </c>
      <c r="E276" s="4" t="s">
        <v>1351</v>
      </c>
      <c r="F276" s="2">
        <v>119.5</v>
      </c>
      <c r="G276" s="2">
        <v>122.5</v>
      </c>
      <c r="H276" s="2">
        <v>139.5</v>
      </c>
      <c r="I276" s="2">
        <v>137.5</v>
      </c>
      <c r="J276" s="2" t="s">
        <v>1173</v>
      </c>
      <c r="K276" s="4" t="s">
        <v>1352</v>
      </c>
      <c r="L276" s="3" t="s">
        <v>428</v>
      </c>
    </row>
    <row r="277" spans="1:12" x14ac:dyDescent="0.2">
      <c r="A277" s="3">
        <v>276</v>
      </c>
      <c r="B277" s="3" t="s">
        <v>18</v>
      </c>
      <c r="C277" s="3">
        <v>9</v>
      </c>
      <c r="D277" s="3" t="s">
        <v>8</v>
      </c>
      <c r="E277" s="4" t="s">
        <v>1353</v>
      </c>
      <c r="F277" s="2">
        <v>262.5</v>
      </c>
      <c r="G277" s="2">
        <v>202.5</v>
      </c>
      <c r="H277" s="2">
        <v>350</v>
      </c>
      <c r="I277" s="2">
        <v>290</v>
      </c>
      <c r="J277" s="2" t="s">
        <v>1136</v>
      </c>
      <c r="K277" s="4" t="s">
        <v>1354</v>
      </c>
      <c r="L277" s="3" t="s">
        <v>428</v>
      </c>
    </row>
    <row r="278" spans="1:12" x14ac:dyDescent="0.2">
      <c r="A278" s="3">
        <v>277</v>
      </c>
      <c r="B278" s="3" t="s">
        <v>18</v>
      </c>
      <c r="C278" s="3">
        <v>9</v>
      </c>
      <c r="D278" s="3" t="s">
        <v>6</v>
      </c>
      <c r="E278" s="4" t="s">
        <v>1355</v>
      </c>
      <c r="J278" s="2" t="s">
        <v>1146</v>
      </c>
      <c r="K278" s="4" t="s">
        <v>1356</v>
      </c>
      <c r="L278" s="3" t="s">
        <v>428</v>
      </c>
    </row>
    <row r="279" spans="1:12" x14ac:dyDescent="0.2">
      <c r="A279" s="3">
        <v>278</v>
      </c>
      <c r="B279" s="3" t="s">
        <v>18</v>
      </c>
      <c r="C279" s="3">
        <v>9</v>
      </c>
      <c r="D279" s="3" t="s">
        <v>6</v>
      </c>
      <c r="E279" s="4" t="s">
        <v>1357</v>
      </c>
      <c r="J279" s="2" t="s">
        <v>1146</v>
      </c>
      <c r="K279" s="4" t="s">
        <v>1358</v>
      </c>
      <c r="L279" s="3" t="s">
        <v>428</v>
      </c>
    </row>
    <row r="280" spans="1:12" x14ac:dyDescent="0.2">
      <c r="A280" s="3">
        <v>279</v>
      </c>
      <c r="B280" s="3" t="s">
        <v>18</v>
      </c>
      <c r="C280" s="3">
        <v>9</v>
      </c>
      <c r="D280" s="3" t="s">
        <v>8</v>
      </c>
      <c r="E280" s="4" t="s">
        <v>1359</v>
      </c>
      <c r="F280" s="2">
        <v>1911.79</v>
      </c>
      <c r="G280" s="2">
        <v>2160</v>
      </c>
      <c r="H280" s="2">
        <v>2000</v>
      </c>
      <c r="I280" s="2">
        <v>1800</v>
      </c>
      <c r="J280" s="2" t="s">
        <v>1173</v>
      </c>
      <c r="K280" s="4" t="s">
        <v>1360</v>
      </c>
      <c r="L280" s="3" t="s">
        <v>428</v>
      </c>
    </row>
    <row r="281" spans="1:12" x14ac:dyDescent="0.2">
      <c r="A281" s="3">
        <v>280</v>
      </c>
      <c r="B281" s="3" t="s">
        <v>18</v>
      </c>
      <c r="C281" s="3">
        <v>9</v>
      </c>
      <c r="D281" s="3" t="s">
        <v>8</v>
      </c>
      <c r="E281" s="4" t="s">
        <v>1361</v>
      </c>
      <c r="F281" s="2">
        <v>24.38</v>
      </c>
      <c r="G281" s="2">
        <v>25.63</v>
      </c>
      <c r="H281" s="2">
        <v>25</v>
      </c>
      <c r="I281" s="2">
        <v>0</v>
      </c>
      <c r="J281" s="2" t="s">
        <v>1194</v>
      </c>
      <c r="K281" s="4" t="s">
        <v>1362</v>
      </c>
      <c r="L281" s="3" t="s">
        <v>428</v>
      </c>
    </row>
    <row r="282" spans="1:12" x14ac:dyDescent="0.2">
      <c r="A282" s="3">
        <v>281</v>
      </c>
      <c r="B282" s="3" t="s">
        <v>18</v>
      </c>
      <c r="C282" s="3">
        <v>9</v>
      </c>
      <c r="D282" s="3" t="s">
        <v>6</v>
      </c>
      <c r="E282" s="4" t="s">
        <v>1363</v>
      </c>
      <c r="J282" s="2" t="s">
        <v>1205</v>
      </c>
      <c r="K282" s="4" t="s">
        <v>1364</v>
      </c>
      <c r="L282" s="3" t="s">
        <v>428</v>
      </c>
    </row>
    <row r="283" spans="1:12" x14ac:dyDescent="0.2">
      <c r="A283" s="3">
        <v>282</v>
      </c>
      <c r="B283" s="3" t="s">
        <v>18</v>
      </c>
      <c r="C283" s="3">
        <v>9</v>
      </c>
      <c r="D283" s="3" t="s">
        <v>6</v>
      </c>
      <c r="E283" s="4" t="s">
        <v>1365</v>
      </c>
      <c r="J283" s="2" t="s">
        <v>1205</v>
      </c>
      <c r="K283" s="4" t="s">
        <v>1366</v>
      </c>
      <c r="L283" s="3" t="s">
        <v>428</v>
      </c>
    </row>
    <row r="284" spans="1:12" x14ac:dyDescent="0.2">
      <c r="A284" s="3">
        <v>283</v>
      </c>
      <c r="B284" s="3" t="s">
        <v>18</v>
      </c>
      <c r="C284" s="3">
        <v>9</v>
      </c>
      <c r="D284" s="3" t="s">
        <v>6</v>
      </c>
      <c r="E284" s="4" t="s">
        <v>1367</v>
      </c>
      <c r="J284" s="2" t="s">
        <v>1146</v>
      </c>
      <c r="K284" s="4" t="s">
        <v>1368</v>
      </c>
      <c r="L284" s="3" t="s">
        <v>428</v>
      </c>
    </row>
    <row r="285" spans="1:12" x14ac:dyDescent="0.2">
      <c r="A285" s="3">
        <v>284</v>
      </c>
      <c r="B285" s="3" t="s">
        <v>18</v>
      </c>
      <c r="C285" s="3">
        <v>9</v>
      </c>
      <c r="D285" s="3" t="s">
        <v>1370</v>
      </c>
      <c r="E285" s="4" t="s">
        <v>1371</v>
      </c>
      <c r="F285" s="2" t="s">
        <v>1372</v>
      </c>
      <c r="G285" s="2" t="s">
        <v>1373</v>
      </c>
      <c r="H285" s="2" t="s">
        <v>1374</v>
      </c>
      <c r="I285" s="2" t="s">
        <v>1375</v>
      </c>
      <c r="J285" s="2" t="s">
        <v>1416</v>
      </c>
      <c r="K285" s="4" t="s">
        <v>1417</v>
      </c>
      <c r="L285" s="3" t="s">
        <v>1369</v>
      </c>
    </row>
    <row r="286" spans="1:12" x14ac:dyDescent="0.2">
      <c r="A286" s="3">
        <v>285</v>
      </c>
      <c r="B286" s="3" t="s">
        <v>18</v>
      </c>
      <c r="C286" s="3">
        <v>9</v>
      </c>
      <c r="D286" s="3" t="s">
        <v>6</v>
      </c>
      <c r="E286" s="4" t="s">
        <v>1376</v>
      </c>
      <c r="J286" s="2" t="s">
        <v>342</v>
      </c>
      <c r="K286" t="s">
        <v>1418</v>
      </c>
      <c r="L286" s="3" t="s">
        <v>1369</v>
      </c>
    </row>
    <row r="287" spans="1:12" x14ac:dyDescent="0.2">
      <c r="A287" s="3">
        <v>286</v>
      </c>
      <c r="B287" s="3" t="s">
        <v>18</v>
      </c>
      <c r="C287" s="3">
        <v>9</v>
      </c>
      <c r="D287" s="3" t="s">
        <v>8</v>
      </c>
      <c r="E287" s="4" t="s">
        <v>1377</v>
      </c>
      <c r="F287" s="2" t="s">
        <v>1378</v>
      </c>
      <c r="G287" s="2" t="s">
        <v>1379</v>
      </c>
      <c r="H287" s="2" t="s">
        <v>1380</v>
      </c>
      <c r="I287" s="2" t="s">
        <v>1381</v>
      </c>
      <c r="J287" s="2" t="s">
        <v>1419</v>
      </c>
      <c r="K287" t="s">
        <v>1418</v>
      </c>
      <c r="L287" s="3" t="s">
        <v>1369</v>
      </c>
    </row>
    <row r="288" spans="1:12" x14ac:dyDescent="0.2">
      <c r="A288" s="3">
        <v>287</v>
      </c>
      <c r="B288" s="3" t="s">
        <v>18</v>
      </c>
      <c r="C288" s="3">
        <v>9</v>
      </c>
      <c r="D288" s="3" t="s">
        <v>8</v>
      </c>
      <c r="E288" s="4" t="s">
        <v>1382</v>
      </c>
      <c r="F288" s="2">
        <v>-400</v>
      </c>
      <c r="G288" s="2">
        <v>-730</v>
      </c>
      <c r="H288" s="2">
        <v>-1000</v>
      </c>
      <c r="I288" s="2">
        <v>-1130</v>
      </c>
      <c r="J288" s="2" t="s">
        <v>1420</v>
      </c>
      <c r="K288" s="4" t="s">
        <v>1421</v>
      </c>
      <c r="L288" s="3" t="s">
        <v>1369</v>
      </c>
    </row>
    <row r="289" spans="1:12" x14ac:dyDescent="0.2">
      <c r="A289" s="3">
        <v>288</v>
      </c>
      <c r="B289" s="3" t="s">
        <v>18</v>
      </c>
      <c r="C289" s="3">
        <v>9</v>
      </c>
      <c r="D289" s="3" t="s">
        <v>8</v>
      </c>
      <c r="E289" s="4" t="s">
        <v>1383</v>
      </c>
      <c r="F289" s="2" t="s">
        <v>1384</v>
      </c>
      <c r="G289" s="2" t="s">
        <v>1385</v>
      </c>
      <c r="H289" s="2" t="s">
        <v>1386</v>
      </c>
      <c r="I289" s="2" t="s">
        <v>1387</v>
      </c>
      <c r="J289" s="2" t="s">
        <v>1422</v>
      </c>
      <c r="K289" s="4" t="s">
        <v>1423</v>
      </c>
      <c r="L289" s="3" t="s">
        <v>1369</v>
      </c>
    </row>
    <row r="290" spans="1:12" x14ac:dyDescent="0.2">
      <c r="A290" s="3">
        <v>289</v>
      </c>
      <c r="B290" s="3" t="s">
        <v>18</v>
      </c>
      <c r="C290" s="3">
        <v>9</v>
      </c>
      <c r="D290" s="3" t="s">
        <v>1370</v>
      </c>
      <c r="E290" s="4" t="s">
        <v>1388</v>
      </c>
      <c r="F290" s="2" t="s">
        <v>1389</v>
      </c>
      <c r="G290" s="2" t="s">
        <v>1390</v>
      </c>
      <c r="H290" s="2" t="s">
        <v>1391</v>
      </c>
      <c r="I290" s="2" t="s">
        <v>1392</v>
      </c>
      <c r="J290" s="2" t="s">
        <v>1424</v>
      </c>
      <c r="K290" s="4" t="s">
        <v>1423</v>
      </c>
      <c r="L290" s="3" t="s">
        <v>1369</v>
      </c>
    </row>
    <row r="291" spans="1:12" x14ac:dyDescent="0.2">
      <c r="A291" s="3">
        <v>290</v>
      </c>
      <c r="B291" s="3" t="s">
        <v>18</v>
      </c>
      <c r="C291" s="3">
        <v>9</v>
      </c>
      <c r="D291" s="3" t="s">
        <v>1370</v>
      </c>
      <c r="E291" s="4" t="s">
        <v>1393</v>
      </c>
      <c r="F291" s="2" t="s">
        <v>1394</v>
      </c>
      <c r="G291" s="2" t="s">
        <v>1395</v>
      </c>
      <c r="H291" s="2" t="s">
        <v>1396</v>
      </c>
      <c r="I291" s="2" t="s">
        <v>1397</v>
      </c>
      <c r="J291" s="2" t="s">
        <v>1425</v>
      </c>
      <c r="K291" s="4" t="s">
        <v>1426</v>
      </c>
      <c r="L291" s="3" t="s">
        <v>1369</v>
      </c>
    </row>
    <row r="292" spans="1:12" x14ac:dyDescent="0.2">
      <c r="A292" s="3">
        <v>291</v>
      </c>
      <c r="B292" s="3" t="s">
        <v>18</v>
      </c>
      <c r="C292" s="3">
        <v>9</v>
      </c>
      <c r="D292" s="3" t="s">
        <v>8</v>
      </c>
      <c r="E292" s="4" t="s">
        <v>1398</v>
      </c>
      <c r="F292" s="18" t="s">
        <v>1399</v>
      </c>
      <c r="G292" s="18" t="s">
        <v>1400</v>
      </c>
      <c r="H292" s="19" t="s">
        <v>1401</v>
      </c>
      <c r="I292" s="19" t="s">
        <v>1402</v>
      </c>
      <c r="J292" s="2" t="s">
        <v>1419</v>
      </c>
      <c r="K292" s="4" t="s">
        <v>1427</v>
      </c>
      <c r="L292" s="3" t="s">
        <v>1369</v>
      </c>
    </row>
    <row r="293" spans="1:12" x14ac:dyDescent="0.2">
      <c r="A293" s="3">
        <v>292</v>
      </c>
      <c r="B293" s="3" t="s">
        <v>18</v>
      </c>
      <c r="C293" s="3">
        <v>9</v>
      </c>
      <c r="D293" s="3" t="s">
        <v>6</v>
      </c>
      <c r="E293" s="4" t="s">
        <v>1403</v>
      </c>
      <c r="J293" s="2" t="s">
        <v>342</v>
      </c>
      <c r="K293" s="4" t="s">
        <v>1428</v>
      </c>
      <c r="L293" s="3" t="s">
        <v>1369</v>
      </c>
    </row>
    <row r="294" spans="1:12" x14ac:dyDescent="0.2">
      <c r="A294" s="3">
        <v>293</v>
      </c>
      <c r="B294" s="3" t="s">
        <v>18</v>
      </c>
      <c r="C294" s="3">
        <v>9</v>
      </c>
      <c r="D294" s="3" t="s">
        <v>8</v>
      </c>
      <c r="E294" s="4" t="s">
        <v>1702</v>
      </c>
      <c r="F294" s="2" t="s">
        <v>1404</v>
      </c>
      <c r="G294" s="2" t="s">
        <v>1405</v>
      </c>
      <c r="H294" s="2" t="s">
        <v>1406</v>
      </c>
      <c r="I294" s="2" t="s">
        <v>1407</v>
      </c>
      <c r="J294" s="2" t="s">
        <v>1419</v>
      </c>
      <c r="K294" s="4" t="s">
        <v>1429</v>
      </c>
      <c r="L294" s="3" t="s">
        <v>1369</v>
      </c>
    </row>
    <row r="295" spans="1:12" x14ac:dyDescent="0.2">
      <c r="A295" s="3">
        <v>294</v>
      </c>
      <c r="B295" s="3" t="s">
        <v>18</v>
      </c>
      <c r="C295" s="3">
        <v>9</v>
      </c>
      <c r="D295" s="3" t="s">
        <v>8</v>
      </c>
      <c r="E295" s="4" t="s">
        <v>1408</v>
      </c>
      <c r="F295" s="2" t="s">
        <v>1409</v>
      </c>
      <c r="G295" s="2" t="s">
        <v>1410</v>
      </c>
      <c r="H295" s="2" t="s">
        <v>1411</v>
      </c>
      <c r="I295" s="2" t="s">
        <v>1412</v>
      </c>
      <c r="J295" s="2" t="s">
        <v>1430</v>
      </c>
      <c r="K295" s="4" t="s">
        <v>1431</v>
      </c>
      <c r="L295" s="3" t="s">
        <v>1369</v>
      </c>
    </row>
    <row r="296" spans="1:12" x14ac:dyDescent="0.2">
      <c r="A296" s="3">
        <v>295</v>
      </c>
      <c r="B296" s="3" t="s">
        <v>18</v>
      </c>
      <c r="C296" s="3">
        <v>9</v>
      </c>
      <c r="D296" s="3" t="s">
        <v>6</v>
      </c>
      <c r="E296" s="4" t="s">
        <v>1413</v>
      </c>
      <c r="J296" s="2" t="s">
        <v>342</v>
      </c>
      <c r="K296" s="4" t="s">
        <v>1432</v>
      </c>
      <c r="L296" s="3" t="s">
        <v>1369</v>
      </c>
    </row>
    <row r="297" spans="1:12" x14ac:dyDescent="0.2">
      <c r="A297" s="3">
        <v>296</v>
      </c>
      <c r="B297" s="3" t="s">
        <v>18</v>
      </c>
      <c r="C297" s="3">
        <v>9</v>
      </c>
      <c r="D297" s="3" t="s">
        <v>8</v>
      </c>
      <c r="E297" s="4" t="s">
        <v>1414</v>
      </c>
      <c r="F297" s="2">
        <v>40</v>
      </c>
      <c r="G297" s="2">
        <v>90</v>
      </c>
      <c r="H297" s="2">
        <v>120</v>
      </c>
      <c r="I297" s="2">
        <v>30</v>
      </c>
      <c r="J297" s="2" t="s">
        <v>1419</v>
      </c>
      <c r="K297" s="4" t="s">
        <v>1433</v>
      </c>
      <c r="L297" s="3" t="s">
        <v>1369</v>
      </c>
    </row>
    <row r="298" spans="1:12" x14ac:dyDescent="0.2">
      <c r="A298" s="3">
        <v>297</v>
      </c>
      <c r="B298" s="3" t="s">
        <v>18</v>
      </c>
      <c r="C298" s="3">
        <v>9</v>
      </c>
      <c r="D298" s="3" t="s">
        <v>6</v>
      </c>
      <c r="E298" s="4" t="s">
        <v>1415</v>
      </c>
      <c r="J298" s="2" t="s">
        <v>342</v>
      </c>
      <c r="K298" s="4" t="s">
        <v>1434</v>
      </c>
      <c r="L298" s="3" t="s">
        <v>1369</v>
      </c>
    </row>
    <row r="299" spans="1:12" x14ac:dyDescent="0.2">
      <c r="A299" s="3">
        <v>298</v>
      </c>
      <c r="B299" s="3" t="s">
        <v>18</v>
      </c>
      <c r="C299" s="3">
        <v>9</v>
      </c>
      <c r="D299" s="3" t="s">
        <v>6</v>
      </c>
      <c r="E299" s="4" t="s">
        <v>1703</v>
      </c>
      <c r="J299" s="2" t="s">
        <v>1436</v>
      </c>
      <c r="K299" s="4" t="s">
        <v>1435</v>
      </c>
      <c r="L299" s="3" t="s">
        <v>1369</v>
      </c>
    </row>
    <row r="300" spans="1:12" x14ac:dyDescent="0.2">
      <c r="A300" s="3">
        <v>299</v>
      </c>
      <c r="B300" s="3" t="s">
        <v>18</v>
      </c>
      <c r="C300" s="3">
        <v>5</v>
      </c>
      <c r="D300" s="3" t="s">
        <v>8</v>
      </c>
      <c r="E300" s="4" t="s">
        <v>1437</v>
      </c>
      <c r="F300" s="2" t="s">
        <v>1438</v>
      </c>
      <c r="G300" s="2" t="s">
        <v>1439</v>
      </c>
      <c r="H300" s="2" t="s">
        <v>1440</v>
      </c>
      <c r="I300" s="2" t="s">
        <v>1441</v>
      </c>
      <c r="J300" s="2" t="s">
        <v>1476</v>
      </c>
      <c r="K300" s="4" t="s">
        <v>1477</v>
      </c>
      <c r="L300" s="3" t="s">
        <v>1369</v>
      </c>
    </row>
    <row r="301" spans="1:12" x14ac:dyDescent="0.2">
      <c r="A301" s="3">
        <v>300</v>
      </c>
      <c r="B301" s="3" t="s">
        <v>18</v>
      </c>
      <c r="C301" s="3">
        <v>5</v>
      </c>
      <c r="D301" s="3" t="s">
        <v>8</v>
      </c>
      <c r="E301" s="4" t="s">
        <v>1443</v>
      </c>
      <c r="F301" s="2">
        <v>7100</v>
      </c>
      <c r="G301" s="2">
        <v>7000</v>
      </c>
      <c r="H301" s="2">
        <v>5400</v>
      </c>
      <c r="I301" s="2">
        <v>5500</v>
      </c>
      <c r="J301" s="2" t="s">
        <v>1478</v>
      </c>
      <c r="K301" s="4" t="s">
        <v>1479</v>
      </c>
      <c r="L301" s="3" t="s">
        <v>1369</v>
      </c>
    </row>
    <row r="302" spans="1:12" x14ac:dyDescent="0.2">
      <c r="A302" s="3">
        <v>301</v>
      </c>
      <c r="B302" s="3" t="s">
        <v>18</v>
      </c>
      <c r="C302" s="3">
        <v>5</v>
      </c>
      <c r="D302" s="3" t="s">
        <v>62</v>
      </c>
      <c r="E302" s="4" t="s">
        <v>1442</v>
      </c>
      <c r="F302" s="2" t="s">
        <v>1444</v>
      </c>
      <c r="G302" s="2" t="s">
        <v>1445</v>
      </c>
      <c r="H302" s="2" t="s">
        <v>1446</v>
      </c>
      <c r="I302" s="2" t="s">
        <v>1447</v>
      </c>
      <c r="J302" s="2" t="s">
        <v>1482</v>
      </c>
      <c r="K302" s="4" t="s">
        <v>1480</v>
      </c>
      <c r="L302" s="3" t="s">
        <v>1369</v>
      </c>
    </row>
    <row r="303" spans="1:12" x14ac:dyDescent="0.2">
      <c r="A303" s="3">
        <v>302</v>
      </c>
      <c r="B303" s="3" t="s">
        <v>18</v>
      </c>
      <c r="C303" s="3">
        <v>5</v>
      </c>
      <c r="D303" s="3" t="s">
        <v>8</v>
      </c>
      <c r="E303" s="4" t="s">
        <v>1448</v>
      </c>
      <c r="F303" s="2">
        <v>1920</v>
      </c>
      <c r="G303" s="2">
        <v>2040</v>
      </c>
      <c r="H303" s="2">
        <v>2880</v>
      </c>
      <c r="I303" s="2">
        <v>3480</v>
      </c>
      <c r="J303" s="2" t="s">
        <v>1483</v>
      </c>
      <c r="K303" s="4" t="s">
        <v>1481</v>
      </c>
      <c r="L303" s="3" t="s">
        <v>1369</v>
      </c>
    </row>
    <row r="304" spans="1:12" x14ac:dyDescent="0.2">
      <c r="A304" s="3">
        <v>303</v>
      </c>
      <c r="B304" s="3" t="s">
        <v>18</v>
      </c>
      <c r="C304" s="3">
        <v>5</v>
      </c>
      <c r="D304" s="3" t="s">
        <v>8</v>
      </c>
      <c r="E304" s="4" t="s">
        <v>1449</v>
      </c>
      <c r="F304" s="2" t="s">
        <v>1450</v>
      </c>
      <c r="G304" s="2" t="s">
        <v>1451</v>
      </c>
      <c r="H304" s="2" t="s">
        <v>1452</v>
      </c>
      <c r="I304" s="2" t="s">
        <v>1453</v>
      </c>
      <c r="J304" s="2" t="s">
        <v>1484</v>
      </c>
      <c r="K304" s="4" t="s">
        <v>1485</v>
      </c>
      <c r="L304" s="3" t="s">
        <v>1369</v>
      </c>
    </row>
    <row r="305" spans="1:12" x14ac:dyDescent="0.2">
      <c r="A305" s="3">
        <v>304</v>
      </c>
      <c r="B305" s="3" t="s">
        <v>18</v>
      </c>
      <c r="C305" s="3">
        <v>5</v>
      </c>
      <c r="D305" s="3" t="s">
        <v>8</v>
      </c>
      <c r="E305" s="4" t="s">
        <v>1454</v>
      </c>
      <c r="F305" s="2">
        <v>9600</v>
      </c>
      <c r="G305" s="2">
        <v>9900</v>
      </c>
      <c r="H305" s="2">
        <v>9300</v>
      </c>
      <c r="I305" s="2">
        <v>9000</v>
      </c>
      <c r="J305" s="2" t="s">
        <v>1486</v>
      </c>
      <c r="K305" s="4" t="s">
        <v>1487</v>
      </c>
      <c r="L305" s="3" t="s">
        <v>1369</v>
      </c>
    </row>
    <row r="306" spans="1:12" x14ac:dyDescent="0.2">
      <c r="A306" s="3">
        <v>305</v>
      </c>
      <c r="B306" s="3" t="s">
        <v>18</v>
      </c>
      <c r="C306" s="3">
        <v>5</v>
      </c>
      <c r="D306" s="3" t="s">
        <v>62</v>
      </c>
      <c r="E306" s="4" t="s">
        <v>1455</v>
      </c>
      <c r="F306" s="2" t="s">
        <v>1456</v>
      </c>
      <c r="G306" s="2" t="s">
        <v>1457</v>
      </c>
      <c r="H306" s="2" t="s">
        <v>1458</v>
      </c>
      <c r="I306" s="2" t="s">
        <v>1459</v>
      </c>
      <c r="J306" s="2" t="s">
        <v>1489</v>
      </c>
      <c r="K306" s="4" t="s">
        <v>1488</v>
      </c>
      <c r="L306" s="3" t="s">
        <v>1369</v>
      </c>
    </row>
    <row r="307" spans="1:12" x14ac:dyDescent="0.2">
      <c r="A307" s="3">
        <v>306</v>
      </c>
      <c r="B307" s="3" t="s">
        <v>18</v>
      </c>
      <c r="C307" s="3">
        <v>5</v>
      </c>
      <c r="D307" s="3" t="s">
        <v>6</v>
      </c>
      <c r="E307" s="4" t="s">
        <v>1460</v>
      </c>
      <c r="J307" s="2" t="s">
        <v>1490</v>
      </c>
      <c r="K307" s="4" t="s">
        <v>1491</v>
      </c>
      <c r="L307" s="3" t="s">
        <v>427</v>
      </c>
    </row>
    <row r="308" spans="1:12" x14ac:dyDescent="0.2">
      <c r="A308" s="3">
        <v>307</v>
      </c>
      <c r="B308" s="3" t="s">
        <v>18</v>
      </c>
      <c r="C308" s="3">
        <v>5</v>
      </c>
      <c r="D308" s="3" t="s">
        <v>8</v>
      </c>
      <c r="E308" s="4" t="s">
        <v>1461</v>
      </c>
      <c r="F308" s="2" t="s">
        <v>1462</v>
      </c>
      <c r="G308" s="2" t="s">
        <v>1463</v>
      </c>
      <c r="H308" s="2" t="s">
        <v>1464</v>
      </c>
      <c r="I308" s="2" t="s">
        <v>1465</v>
      </c>
      <c r="J308" s="2" t="s">
        <v>1492</v>
      </c>
      <c r="K308" s="2" t="s">
        <v>1493</v>
      </c>
      <c r="L308" s="3" t="s">
        <v>427</v>
      </c>
    </row>
    <row r="309" spans="1:12" x14ac:dyDescent="0.2">
      <c r="A309" s="3">
        <v>308</v>
      </c>
      <c r="B309" s="3" t="s">
        <v>18</v>
      </c>
      <c r="C309" s="3">
        <v>5</v>
      </c>
      <c r="D309" s="3" t="s">
        <v>8</v>
      </c>
      <c r="E309" s="4" t="s">
        <v>1466</v>
      </c>
      <c r="F309" s="2">
        <v>3000</v>
      </c>
      <c r="G309" s="2">
        <v>3240</v>
      </c>
      <c r="H309" s="2">
        <v>3054</v>
      </c>
      <c r="I309" s="2">
        <v>3180</v>
      </c>
      <c r="J309" s="2" t="s">
        <v>1495</v>
      </c>
      <c r="K309" s="4" t="s">
        <v>1494</v>
      </c>
      <c r="L309" s="3" t="s">
        <v>427</v>
      </c>
    </row>
    <row r="310" spans="1:12" x14ac:dyDescent="0.2">
      <c r="A310" s="3">
        <v>309</v>
      </c>
      <c r="B310" s="3" t="s">
        <v>18</v>
      </c>
      <c r="C310" s="3">
        <v>5</v>
      </c>
      <c r="D310" s="3" t="s">
        <v>8</v>
      </c>
      <c r="E310" s="4" t="s">
        <v>1467</v>
      </c>
      <c r="F310" s="2">
        <v>900</v>
      </c>
      <c r="G310" s="2">
        <v>0</v>
      </c>
      <c r="H310" s="2">
        <v>750</v>
      </c>
      <c r="I310" s="2">
        <v>150</v>
      </c>
      <c r="J310" s="2" t="s">
        <v>1495</v>
      </c>
      <c r="K310" s="4" t="s">
        <v>1496</v>
      </c>
      <c r="L310" s="3" t="s">
        <v>427</v>
      </c>
    </row>
    <row r="311" spans="1:12" x14ac:dyDescent="0.2">
      <c r="A311" s="3">
        <v>310</v>
      </c>
      <c r="B311" s="3" t="s">
        <v>18</v>
      </c>
      <c r="C311" s="3">
        <v>5</v>
      </c>
      <c r="D311" s="3" t="s">
        <v>6</v>
      </c>
      <c r="E311" s="4" t="s">
        <v>1468</v>
      </c>
      <c r="J311" s="2" t="s">
        <v>1490</v>
      </c>
      <c r="K311" s="4" t="s">
        <v>1497</v>
      </c>
      <c r="L311" s="3" t="s">
        <v>427</v>
      </c>
    </row>
    <row r="312" spans="1:12" x14ac:dyDescent="0.2">
      <c r="A312" s="3">
        <v>311</v>
      </c>
      <c r="B312" s="3" t="s">
        <v>18</v>
      </c>
      <c r="C312" s="3">
        <v>5</v>
      </c>
      <c r="D312" s="3" t="s">
        <v>1470</v>
      </c>
      <c r="E312" s="4" t="s">
        <v>1469</v>
      </c>
      <c r="F312" s="2" t="s">
        <v>1471</v>
      </c>
      <c r="G312" s="2" t="s">
        <v>1472</v>
      </c>
      <c r="H312" s="2" t="s">
        <v>1473</v>
      </c>
      <c r="I312" s="2" t="s">
        <v>1474</v>
      </c>
      <c r="J312" s="2" t="s">
        <v>1498</v>
      </c>
      <c r="K312" s="4" t="s">
        <v>1499</v>
      </c>
      <c r="L312" s="3" t="s">
        <v>427</v>
      </c>
    </row>
    <row r="313" spans="1:12" x14ac:dyDescent="0.2">
      <c r="A313" s="3">
        <v>312</v>
      </c>
      <c r="B313" s="3" t="s">
        <v>18</v>
      </c>
      <c r="C313" s="3">
        <v>5</v>
      </c>
      <c r="D313" s="3" t="s">
        <v>8</v>
      </c>
      <c r="E313" s="4" t="s">
        <v>1475</v>
      </c>
      <c r="F313" s="2">
        <v>100</v>
      </c>
      <c r="G313" s="2">
        <v>500</v>
      </c>
      <c r="H313" s="2">
        <v>400</v>
      </c>
      <c r="I313" s="2">
        <v>200</v>
      </c>
      <c r="J313" s="2" t="s">
        <v>1483</v>
      </c>
      <c r="K313" s="4" t="s">
        <v>1500</v>
      </c>
      <c r="L313" s="3" t="s">
        <v>427</v>
      </c>
    </row>
    <row r="314" spans="1:12" x14ac:dyDescent="0.2">
      <c r="A314" s="3">
        <v>313</v>
      </c>
      <c r="B314" s="3" t="s">
        <v>18</v>
      </c>
      <c r="C314" s="3">
        <v>5</v>
      </c>
      <c r="D314" s="3" t="s">
        <v>8</v>
      </c>
      <c r="E314" s="4" t="s">
        <v>1501</v>
      </c>
      <c r="F314" s="2">
        <v>7100</v>
      </c>
      <c r="G314" s="2">
        <v>7000</v>
      </c>
      <c r="H314" s="2">
        <v>5400</v>
      </c>
      <c r="I314" s="2">
        <v>5500</v>
      </c>
      <c r="J314" s="2" t="s">
        <v>1502</v>
      </c>
      <c r="K314" s="4" t="s">
        <v>1503</v>
      </c>
      <c r="L314" s="3" t="s">
        <v>428</v>
      </c>
    </row>
    <row r="315" spans="1:12" x14ac:dyDescent="0.2">
      <c r="A315" s="3">
        <v>314</v>
      </c>
      <c r="B315" s="3" t="s">
        <v>18</v>
      </c>
      <c r="C315" s="3">
        <v>5</v>
      </c>
      <c r="D315" s="3" t="s">
        <v>62</v>
      </c>
      <c r="E315" s="4" t="s">
        <v>1504</v>
      </c>
      <c r="F315" s="2" t="s">
        <v>1505</v>
      </c>
      <c r="G315" s="2" t="s">
        <v>1506</v>
      </c>
      <c r="H315" s="2" t="s">
        <v>1507</v>
      </c>
      <c r="I315" s="2" t="s">
        <v>1508</v>
      </c>
      <c r="J315" s="2" t="s">
        <v>1509</v>
      </c>
      <c r="K315" s="4" t="s">
        <v>1510</v>
      </c>
      <c r="L315" s="3" t="s">
        <v>428</v>
      </c>
    </row>
    <row r="316" spans="1:12" x14ac:dyDescent="0.2">
      <c r="A316" s="3">
        <v>315</v>
      </c>
      <c r="B316" s="3" t="s">
        <v>18</v>
      </c>
      <c r="C316" s="3">
        <v>5</v>
      </c>
      <c r="D316" s="3" t="s">
        <v>6</v>
      </c>
      <c r="E316" s="4" t="s">
        <v>1511</v>
      </c>
      <c r="J316" s="2" t="s">
        <v>155</v>
      </c>
      <c r="K316" s="4" t="s">
        <v>1512</v>
      </c>
      <c r="L316" s="3" t="s">
        <v>428</v>
      </c>
    </row>
    <row r="317" spans="1:12" x14ac:dyDescent="0.2">
      <c r="A317" s="3">
        <v>316</v>
      </c>
      <c r="B317" s="3" t="s">
        <v>18</v>
      </c>
      <c r="C317" s="3">
        <v>5</v>
      </c>
      <c r="D317" s="3" t="s">
        <v>62</v>
      </c>
      <c r="E317" s="4" t="s">
        <v>1513</v>
      </c>
      <c r="F317" s="2" t="s">
        <v>1514</v>
      </c>
      <c r="G317" s="2" t="s">
        <v>1515</v>
      </c>
      <c r="H317" s="2" t="s">
        <v>1516</v>
      </c>
      <c r="I317" s="2" t="s">
        <v>1517</v>
      </c>
      <c r="J317" s="2" t="s">
        <v>1518</v>
      </c>
      <c r="K317" s="2" t="s">
        <v>1519</v>
      </c>
      <c r="L317" s="3" t="s">
        <v>428</v>
      </c>
    </row>
    <row r="318" spans="1:12" x14ac:dyDescent="0.2">
      <c r="A318" s="3">
        <v>317</v>
      </c>
      <c r="B318" s="3" t="s">
        <v>18</v>
      </c>
      <c r="C318" s="3">
        <v>5</v>
      </c>
      <c r="D318" s="3" t="s">
        <v>62</v>
      </c>
      <c r="E318" s="4" t="s">
        <v>1520</v>
      </c>
      <c r="F318" s="2" t="s">
        <v>1521</v>
      </c>
      <c r="G318" s="2" t="s">
        <v>1522</v>
      </c>
      <c r="H318" s="2" t="s">
        <v>1523</v>
      </c>
      <c r="I318" s="2" t="s">
        <v>1524</v>
      </c>
      <c r="J318" s="2" t="s">
        <v>1525</v>
      </c>
      <c r="K318" s="2" t="s">
        <v>1526</v>
      </c>
      <c r="L318" s="3" t="s">
        <v>428</v>
      </c>
    </row>
    <row r="319" spans="1:12" x14ac:dyDescent="0.2">
      <c r="A319" s="3">
        <v>318</v>
      </c>
      <c r="B319" s="3" t="s">
        <v>18</v>
      </c>
      <c r="C319" s="3">
        <v>5</v>
      </c>
      <c r="D319" s="3" t="s">
        <v>8</v>
      </c>
      <c r="E319" s="4" t="s">
        <v>1527</v>
      </c>
      <c r="F319" s="2">
        <v>10000</v>
      </c>
      <c r="G319" s="2">
        <v>11000</v>
      </c>
      <c r="H319" s="2">
        <v>11200</v>
      </c>
      <c r="I319" s="2">
        <v>11600</v>
      </c>
      <c r="J319" s="2" t="s">
        <v>1502</v>
      </c>
      <c r="K319" s="4" t="s">
        <v>1528</v>
      </c>
      <c r="L319" s="3" t="s">
        <v>428</v>
      </c>
    </row>
    <row r="320" spans="1:12" x14ac:dyDescent="0.2">
      <c r="A320" s="3">
        <v>319</v>
      </c>
      <c r="B320" s="3" t="s">
        <v>18</v>
      </c>
      <c r="C320" s="3">
        <v>5</v>
      </c>
      <c r="D320" s="3" t="s">
        <v>8</v>
      </c>
      <c r="E320" s="4" t="s">
        <v>1529</v>
      </c>
      <c r="F320" s="2">
        <v>1920</v>
      </c>
      <c r="G320" s="2">
        <v>2040</v>
      </c>
      <c r="H320" s="2">
        <v>2880</v>
      </c>
      <c r="I320" s="2">
        <v>3000</v>
      </c>
      <c r="J320" s="2" t="s">
        <v>1502</v>
      </c>
      <c r="K320" s="4" t="s">
        <v>1530</v>
      </c>
      <c r="L320" s="3" t="s">
        <v>428</v>
      </c>
    </row>
    <row r="321" spans="1:12" x14ac:dyDescent="0.2">
      <c r="A321" s="3">
        <v>320</v>
      </c>
      <c r="B321" s="3" t="s">
        <v>18</v>
      </c>
      <c r="C321" s="3">
        <v>5</v>
      </c>
      <c r="D321" s="3" t="s">
        <v>8</v>
      </c>
      <c r="E321" s="4" t="s">
        <v>1531</v>
      </c>
      <c r="F321" s="2" t="s">
        <v>1532</v>
      </c>
      <c r="G321" s="2" t="s">
        <v>1533</v>
      </c>
      <c r="H321" s="2" t="s">
        <v>1534</v>
      </c>
      <c r="I321" s="2" t="s">
        <v>1535</v>
      </c>
      <c r="J321" s="2" t="s">
        <v>1536</v>
      </c>
      <c r="K321" s="4" t="s">
        <v>1537</v>
      </c>
      <c r="L321" s="3" t="s">
        <v>428</v>
      </c>
    </row>
    <row r="322" spans="1:12" x14ac:dyDescent="0.2">
      <c r="A322" s="3">
        <v>321</v>
      </c>
      <c r="B322" s="3" t="s">
        <v>18</v>
      </c>
      <c r="C322" s="3">
        <v>5</v>
      </c>
      <c r="D322" s="3" t="s">
        <v>1539</v>
      </c>
      <c r="E322" s="4" t="s">
        <v>1538</v>
      </c>
      <c r="F322" s="2" t="s">
        <v>1540</v>
      </c>
      <c r="G322" s="2" t="s">
        <v>1541</v>
      </c>
      <c r="H322" s="2" t="s">
        <v>1542</v>
      </c>
      <c r="I322" s="2" t="s">
        <v>1543</v>
      </c>
      <c r="J322" s="2" t="s">
        <v>1544</v>
      </c>
      <c r="K322" s="2" t="s">
        <v>1545</v>
      </c>
      <c r="L322" s="3" t="s">
        <v>428</v>
      </c>
    </row>
    <row r="323" spans="1:12" x14ac:dyDescent="0.2">
      <c r="A323" s="3">
        <v>322</v>
      </c>
      <c r="B323" s="3" t="s">
        <v>18</v>
      </c>
      <c r="C323" s="3">
        <v>5</v>
      </c>
      <c r="D323" s="3" t="s">
        <v>1539</v>
      </c>
      <c r="E323" s="4" t="s">
        <v>1546</v>
      </c>
      <c r="F323" s="2" t="s">
        <v>1547</v>
      </c>
      <c r="G323" s="2" t="s">
        <v>1548</v>
      </c>
      <c r="H323" s="2" t="s">
        <v>1549</v>
      </c>
      <c r="I323" s="2" t="s">
        <v>1550</v>
      </c>
      <c r="J323" s="2" t="s">
        <v>1518</v>
      </c>
      <c r="K323" s="2" t="s">
        <v>1551</v>
      </c>
      <c r="L323" s="3" t="s">
        <v>428</v>
      </c>
    </row>
    <row r="324" spans="1:12" x14ac:dyDescent="0.2">
      <c r="A324" s="3">
        <v>323</v>
      </c>
      <c r="B324" s="3" t="s">
        <v>18</v>
      </c>
      <c r="C324" s="3">
        <v>5</v>
      </c>
      <c r="D324" s="3" t="s">
        <v>8</v>
      </c>
      <c r="E324" s="4" t="s">
        <v>1552</v>
      </c>
      <c r="F324" s="2" t="s">
        <v>1553</v>
      </c>
      <c r="G324" s="2" t="s">
        <v>1554</v>
      </c>
      <c r="H324" s="2" t="s">
        <v>1555</v>
      </c>
      <c r="I324" s="2" t="s">
        <v>1556</v>
      </c>
      <c r="J324" s="2" t="s">
        <v>1557</v>
      </c>
      <c r="K324" s="2" t="s">
        <v>1558</v>
      </c>
      <c r="L324" s="3" t="s">
        <v>428</v>
      </c>
    </row>
    <row r="325" spans="1:12" x14ac:dyDescent="0.2">
      <c r="A325" s="3">
        <v>324</v>
      </c>
      <c r="B325" s="3" t="s">
        <v>18</v>
      </c>
      <c r="C325" s="3">
        <v>5</v>
      </c>
      <c r="D325" s="3" t="s">
        <v>1539</v>
      </c>
      <c r="E325" s="4" t="s">
        <v>1559</v>
      </c>
      <c r="F325" s="2" t="s">
        <v>1560</v>
      </c>
      <c r="G325" s="2" t="s">
        <v>1561</v>
      </c>
      <c r="H325" s="2" t="s">
        <v>1562</v>
      </c>
      <c r="I325" s="2" t="s">
        <v>1563</v>
      </c>
      <c r="J325" s="2" t="s">
        <v>1518</v>
      </c>
      <c r="K325" s="4" t="s">
        <v>1564</v>
      </c>
      <c r="L325" s="3" t="s">
        <v>428</v>
      </c>
    </row>
    <row r="326" spans="1:12" x14ac:dyDescent="0.2">
      <c r="A326" s="3">
        <v>325</v>
      </c>
      <c r="B326" s="3" t="s">
        <v>18</v>
      </c>
      <c r="C326" s="3">
        <v>5</v>
      </c>
      <c r="D326" s="3" t="s">
        <v>1566</v>
      </c>
      <c r="E326" s="4" t="s">
        <v>1565</v>
      </c>
      <c r="J326" s="2" t="s">
        <v>1567</v>
      </c>
      <c r="K326" s="4" t="s">
        <v>1568</v>
      </c>
      <c r="L326" s="3" t="s">
        <v>428</v>
      </c>
    </row>
    <row r="327" spans="1:12" x14ac:dyDescent="0.2">
      <c r="A327" s="3">
        <v>326</v>
      </c>
      <c r="B327" s="3" t="s">
        <v>18</v>
      </c>
      <c r="C327" s="3">
        <v>5</v>
      </c>
      <c r="D327" s="3" t="s">
        <v>1569</v>
      </c>
      <c r="E327" s="4" t="s">
        <v>1570</v>
      </c>
      <c r="J327" s="4"/>
      <c r="K327" s="4" t="s">
        <v>1571</v>
      </c>
      <c r="L327" s="3" t="s">
        <v>428</v>
      </c>
    </row>
    <row r="328" spans="1:12" x14ac:dyDescent="0.2">
      <c r="A328" s="3">
        <v>327</v>
      </c>
      <c r="B328" s="3" t="s">
        <v>18</v>
      </c>
      <c r="C328" s="3">
        <v>5</v>
      </c>
      <c r="D328" s="3" t="s">
        <v>1569</v>
      </c>
      <c r="E328" s="4" t="s">
        <v>1572</v>
      </c>
      <c r="K328" s="4" t="s">
        <v>1573</v>
      </c>
      <c r="L328" s="3" t="s">
        <v>428</v>
      </c>
    </row>
    <row r="329" spans="1:12" x14ac:dyDescent="0.2">
      <c r="A329" s="3">
        <v>328</v>
      </c>
      <c r="B329" s="3" t="s">
        <v>18</v>
      </c>
      <c r="C329" s="3">
        <v>5</v>
      </c>
      <c r="D329" s="3" t="s">
        <v>1569</v>
      </c>
      <c r="E329" s="4" t="s">
        <v>1575</v>
      </c>
      <c r="K329" s="4" t="s">
        <v>1574</v>
      </c>
      <c r="L329" s="3" t="s">
        <v>428</v>
      </c>
    </row>
    <row r="330" spans="1:12" x14ac:dyDescent="0.2">
      <c r="A330" s="3">
        <v>329</v>
      </c>
      <c r="B330" s="3" t="s">
        <v>18</v>
      </c>
      <c r="C330" s="3">
        <v>5</v>
      </c>
      <c r="D330" s="3" t="s">
        <v>1569</v>
      </c>
      <c r="E330" s="4" t="s">
        <v>1577</v>
      </c>
      <c r="K330" s="4" t="s">
        <v>1576</v>
      </c>
      <c r="L330" s="3" t="s">
        <v>428</v>
      </c>
    </row>
    <row r="331" spans="1:12" x14ac:dyDescent="0.2">
      <c r="A331" s="3">
        <v>330</v>
      </c>
      <c r="B331" s="3" t="s">
        <v>18</v>
      </c>
      <c r="C331" s="3">
        <v>5</v>
      </c>
      <c r="D331" s="3" t="s">
        <v>8</v>
      </c>
      <c r="E331" s="4" t="s">
        <v>1578</v>
      </c>
      <c r="F331" s="2">
        <v>9600</v>
      </c>
      <c r="G331" s="2">
        <v>9900</v>
      </c>
      <c r="H331" s="2">
        <v>9300</v>
      </c>
      <c r="I331" s="2">
        <v>9000</v>
      </c>
      <c r="J331" t="s">
        <v>1579</v>
      </c>
      <c r="K331" s="4" t="s">
        <v>1580</v>
      </c>
      <c r="L331" s="3" t="s">
        <v>428</v>
      </c>
    </row>
    <row r="332" spans="1:12" x14ac:dyDescent="0.2">
      <c r="A332" s="3">
        <v>331</v>
      </c>
      <c r="B332" s="3" t="s">
        <v>18</v>
      </c>
      <c r="C332" s="3">
        <v>5</v>
      </c>
      <c r="D332" s="3" t="s">
        <v>8</v>
      </c>
      <c r="E332" s="4" t="s">
        <v>1581</v>
      </c>
      <c r="F332" s="2">
        <v>3750</v>
      </c>
      <c r="G332" s="2">
        <v>3800</v>
      </c>
      <c r="H332" s="2">
        <v>3900</v>
      </c>
      <c r="I332" s="2">
        <v>3950</v>
      </c>
      <c r="J332" t="s">
        <v>1582</v>
      </c>
      <c r="K332" s="4" t="s">
        <v>1583</v>
      </c>
      <c r="L332" s="3" t="s">
        <v>428</v>
      </c>
    </row>
    <row r="333" spans="1:12" x14ac:dyDescent="0.2">
      <c r="A333" s="3">
        <v>332</v>
      </c>
      <c r="B333" s="3" t="s">
        <v>18</v>
      </c>
      <c r="C333" s="3">
        <v>5</v>
      </c>
      <c r="D333" s="3" t="s">
        <v>8</v>
      </c>
      <c r="E333" s="4" t="s">
        <v>1584</v>
      </c>
      <c r="F333" s="2">
        <v>7100</v>
      </c>
      <c r="G333" s="2">
        <v>7000</v>
      </c>
      <c r="H333" s="2">
        <v>8000</v>
      </c>
      <c r="I333" s="2">
        <v>8100</v>
      </c>
      <c r="J333" t="s">
        <v>1557</v>
      </c>
      <c r="K333" s="4" t="s">
        <v>1585</v>
      </c>
      <c r="L333" s="3" t="s">
        <v>428</v>
      </c>
    </row>
    <row r="334" spans="1:12" x14ac:dyDescent="0.2">
      <c r="A334" s="3">
        <v>333</v>
      </c>
      <c r="B334" s="3" t="s">
        <v>18</v>
      </c>
      <c r="C334" s="3">
        <v>5</v>
      </c>
      <c r="D334" s="3" t="s">
        <v>1539</v>
      </c>
      <c r="E334" s="4" t="s">
        <v>1586</v>
      </c>
      <c r="F334" s="2" t="s">
        <v>1587</v>
      </c>
      <c r="G334" s="2" t="s">
        <v>1588</v>
      </c>
      <c r="I334" s="2" t="s">
        <v>1589</v>
      </c>
      <c r="J334" s="2" t="s">
        <v>1590</v>
      </c>
      <c r="K334" s="4" t="s">
        <v>1591</v>
      </c>
      <c r="L334" s="3" t="s">
        <v>428</v>
      </c>
    </row>
    <row r="335" spans="1:12" x14ac:dyDescent="0.2">
      <c r="A335" s="3">
        <v>334</v>
      </c>
      <c r="B335" s="3" t="s">
        <v>18</v>
      </c>
      <c r="C335" s="3">
        <v>5</v>
      </c>
      <c r="D335" s="3" t="s">
        <v>1539</v>
      </c>
      <c r="E335" s="4" t="s">
        <v>1592</v>
      </c>
      <c r="F335" s="2" t="s">
        <v>1593</v>
      </c>
      <c r="G335" s="2" t="s">
        <v>1594</v>
      </c>
      <c r="H335" s="2" t="s">
        <v>1595</v>
      </c>
      <c r="I335" s="2" t="s">
        <v>1596</v>
      </c>
      <c r="J335" s="2" t="s">
        <v>1597</v>
      </c>
      <c r="K335" s="4" t="s">
        <v>1598</v>
      </c>
      <c r="L335" s="3" t="s">
        <v>428</v>
      </c>
    </row>
    <row r="336" spans="1:12" x14ac:dyDescent="0.2">
      <c r="A336" s="3">
        <v>335</v>
      </c>
      <c r="B336" s="3" t="s">
        <v>18</v>
      </c>
      <c r="C336" s="3">
        <v>5</v>
      </c>
      <c r="D336" s="3" t="s">
        <v>1539</v>
      </c>
      <c r="E336" s="4" t="s">
        <v>1599</v>
      </c>
      <c r="F336" s="2" t="s">
        <v>1600</v>
      </c>
      <c r="G336" s="2" t="s">
        <v>1601</v>
      </c>
      <c r="H336" s="2" t="s">
        <v>1602</v>
      </c>
      <c r="I336" s="2" t="s">
        <v>1603</v>
      </c>
      <c r="J336" s="2" t="s">
        <v>1604</v>
      </c>
      <c r="K336" s="2" t="s">
        <v>1605</v>
      </c>
      <c r="L336" s="3" t="s">
        <v>428</v>
      </c>
    </row>
    <row r="337" spans="1:12" x14ac:dyDescent="0.2">
      <c r="A337" s="3">
        <v>336</v>
      </c>
      <c r="B337" s="3" t="s">
        <v>18</v>
      </c>
      <c r="C337" s="3">
        <v>5</v>
      </c>
      <c r="D337" s="3" t="s">
        <v>8</v>
      </c>
      <c r="E337" s="4" t="s">
        <v>1606</v>
      </c>
      <c r="F337" s="2">
        <v>100</v>
      </c>
      <c r="G337" s="2">
        <v>500</v>
      </c>
      <c r="H337" s="2">
        <v>200</v>
      </c>
      <c r="I337" s="2">
        <v>400</v>
      </c>
      <c r="J337" s="2" t="s">
        <v>1607</v>
      </c>
      <c r="K337" s="4" t="s">
        <v>1608</v>
      </c>
      <c r="L337" s="3" t="s">
        <v>428</v>
      </c>
    </row>
    <row r="338" spans="1:12" x14ac:dyDescent="0.2">
      <c r="A338" s="3">
        <v>337</v>
      </c>
      <c r="B338" s="3" t="s">
        <v>18</v>
      </c>
      <c r="C338" s="3">
        <v>5</v>
      </c>
      <c r="D338" s="3" t="s">
        <v>1539</v>
      </c>
      <c r="E338" s="4" t="s">
        <v>1609</v>
      </c>
      <c r="F338" s="2" t="s">
        <v>1614</v>
      </c>
      <c r="G338" s="2" t="s">
        <v>1610</v>
      </c>
      <c r="H338" s="2" t="s">
        <v>1611</v>
      </c>
      <c r="I338" s="2" t="s">
        <v>1612</v>
      </c>
      <c r="J338" s="2" t="s">
        <v>1613</v>
      </c>
      <c r="K338" s="4" t="s">
        <v>1615</v>
      </c>
      <c r="L338" s="3" t="s">
        <v>428</v>
      </c>
    </row>
    <row r="339" spans="1:12" x14ac:dyDescent="0.2">
      <c r="A339" s="3">
        <v>338</v>
      </c>
      <c r="B339" s="3" t="s">
        <v>18</v>
      </c>
      <c r="C339" s="3">
        <v>5</v>
      </c>
      <c r="D339" s="3" t="s">
        <v>1539</v>
      </c>
      <c r="E339" s="4" t="s">
        <v>1616</v>
      </c>
      <c r="F339" s="2" t="s">
        <v>1617</v>
      </c>
      <c r="G339" s="2" t="s">
        <v>1618</v>
      </c>
      <c r="H339" s="2" t="s">
        <v>1619</v>
      </c>
      <c r="I339" s="2" t="s">
        <v>1620</v>
      </c>
      <c r="J339" s="2" t="s">
        <v>1621</v>
      </c>
      <c r="K339" s="2" t="s">
        <v>1622</v>
      </c>
      <c r="L339" s="3" t="s">
        <v>428</v>
      </c>
    </row>
    <row r="340" spans="1:12" x14ac:dyDescent="0.2">
      <c r="A340" s="3">
        <v>339</v>
      </c>
      <c r="B340" s="3" t="s">
        <v>18</v>
      </c>
      <c r="C340" s="3">
        <v>5</v>
      </c>
      <c r="D340" s="3" t="s">
        <v>8</v>
      </c>
      <c r="E340" s="4" t="s">
        <v>1623</v>
      </c>
      <c r="F340" s="2">
        <v>2500</v>
      </c>
      <c r="G340" s="2">
        <v>2400</v>
      </c>
      <c r="H340" s="2">
        <v>2600</v>
      </c>
      <c r="I340" s="2">
        <v>2700</v>
      </c>
      <c r="J340" s="2" t="s">
        <v>1579</v>
      </c>
      <c r="K340" s="4" t="s">
        <v>1624</v>
      </c>
      <c r="L340" s="3" t="s">
        <v>428</v>
      </c>
    </row>
    <row r="341" spans="1:12" x14ac:dyDescent="0.2">
      <c r="A341" s="3">
        <v>340</v>
      </c>
      <c r="B341" s="3" t="s">
        <v>18</v>
      </c>
      <c r="C341" s="3">
        <v>5</v>
      </c>
      <c r="D341" s="3" t="s">
        <v>1539</v>
      </c>
      <c r="E341" s="4" t="s">
        <v>1625</v>
      </c>
      <c r="F341" s="2" t="s">
        <v>1626</v>
      </c>
      <c r="G341" s="2" t="s">
        <v>1627</v>
      </c>
      <c r="H341" s="2" t="s">
        <v>1628</v>
      </c>
      <c r="I341" s="2" t="s">
        <v>1629</v>
      </c>
      <c r="J341" s="2" t="s">
        <v>1630</v>
      </c>
      <c r="K341" s="4" t="s">
        <v>1631</v>
      </c>
      <c r="L341" s="3" t="s">
        <v>428</v>
      </c>
    </row>
    <row r="342" spans="1:12" x14ac:dyDescent="0.2">
      <c r="A342" s="3">
        <v>341</v>
      </c>
      <c r="B342" s="3" t="s">
        <v>18</v>
      </c>
      <c r="C342" s="3">
        <v>5</v>
      </c>
      <c r="D342" s="3" t="s">
        <v>8</v>
      </c>
      <c r="E342" s="4" t="s">
        <v>1632</v>
      </c>
      <c r="F342" s="2" t="s">
        <v>1633</v>
      </c>
      <c r="G342" s="2" t="s">
        <v>1634</v>
      </c>
      <c r="H342" s="2" t="s">
        <v>1635</v>
      </c>
      <c r="I342" s="2" t="s">
        <v>1636</v>
      </c>
      <c r="J342" s="2" t="s">
        <v>1637</v>
      </c>
      <c r="K342" s="2" t="s">
        <v>1638</v>
      </c>
      <c r="L342" s="3" t="s">
        <v>428</v>
      </c>
    </row>
    <row r="343" spans="1:12" x14ac:dyDescent="0.2">
      <c r="A343" s="3">
        <v>342</v>
      </c>
      <c r="B343" s="3" t="s">
        <v>18</v>
      </c>
      <c r="C343" s="3">
        <v>5</v>
      </c>
      <c r="D343" s="3" t="s">
        <v>8</v>
      </c>
      <c r="E343" s="4" t="s">
        <v>1639</v>
      </c>
      <c r="F343" s="2" t="s">
        <v>1640</v>
      </c>
      <c r="G343" s="2" t="s">
        <v>1641</v>
      </c>
      <c r="H343" s="2" t="s">
        <v>1642</v>
      </c>
      <c r="I343" s="2" t="s">
        <v>1643</v>
      </c>
      <c r="J343" s="2" t="s">
        <v>1579</v>
      </c>
      <c r="K343" s="2" t="s">
        <v>1644</v>
      </c>
      <c r="L343" s="3" t="s">
        <v>428</v>
      </c>
    </row>
    <row r="344" spans="1:12" x14ac:dyDescent="0.2">
      <c r="A344" s="3">
        <v>343</v>
      </c>
      <c r="B344" s="3" t="s">
        <v>18</v>
      </c>
      <c r="C344" s="3">
        <v>5</v>
      </c>
      <c r="D344" s="3" t="s">
        <v>8</v>
      </c>
      <c r="E344" s="4" t="s">
        <v>1645</v>
      </c>
      <c r="F344" s="2" t="s">
        <v>1646</v>
      </c>
      <c r="G344" s="2" t="s">
        <v>1647</v>
      </c>
      <c r="H344" s="2" t="s">
        <v>1648</v>
      </c>
      <c r="I344" s="2" t="s">
        <v>1649</v>
      </c>
      <c r="J344" s="2" t="s">
        <v>1650</v>
      </c>
      <c r="K344" s="2" t="s">
        <v>1651</v>
      </c>
      <c r="L344" s="3" t="s">
        <v>428</v>
      </c>
    </row>
    <row r="345" spans="1:12" x14ac:dyDescent="0.2">
      <c r="A345" s="3">
        <v>344</v>
      </c>
      <c r="B345" s="3" t="s">
        <v>18</v>
      </c>
      <c r="C345" s="3">
        <v>5</v>
      </c>
      <c r="D345" s="3" t="s">
        <v>1539</v>
      </c>
      <c r="E345" s="4" t="s">
        <v>1705</v>
      </c>
      <c r="F345" s="2" t="s">
        <v>1652</v>
      </c>
      <c r="G345" s="2" t="s">
        <v>1653</v>
      </c>
      <c r="H345" s="2" t="s">
        <v>1654</v>
      </c>
      <c r="I345" s="2" t="s">
        <v>1655</v>
      </c>
      <c r="J345" s="2" t="s">
        <v>1656</v>
      </c>
      <c r="K345" s="2" t="s">
        <v>1657</v>
      </c>
      <c r="L345" s="3" t="s">
        <v>428</v>
      </c>
    </row>
    <row r="346" spans="1:12" x14ac:dyDescent="0.2">
      <c r="A346" s="3">
        <v>345</v>
      </c>
      <c r="B346" s="3" t="s">
        <v>18</v>
      </c>
      <c r="C346" s="3">
        <v>5</v>
      </c>
      <c r="D346" s="3" t="s">
        <v>1539</v>
      </c>
      <c r="E346" s="4" t="s">
        <v>1658</v>
      </c>
      <c r="F346" s="2" t="s">
        <v>1659</v>
      </c>
      <c r="G346" s="2" t="s">
        <v>1660</v>
      </c>
      <c r="H346" s="2" t="s">
        <v>1661</v>
      </c>
      <c r="I346" s="2" t="s">
        <v>1662</v>
      </c>
      <c r="J346" s="2" t="s">
        <v>1663</v>
      </c>
      <c r="K346" s="2" t="s">
        <v>1664</v>
      </c>
      <c r="L346" s="3" t="s">
        <v>428</v>
      </c>
    </row>
    <row r="347" spans="1:12" x14ac:dyDescent="0.2">
      <c r="A347" s="3">
        <v>346</v>
      </c>
      <c r="B347" s="3" t="s">
        <v>18</v>
      </c>
      <c r="C347" s="3">
        <v>5</v>
      </c>
      <c r="D347" s="3" t="s">
        <v>8</v>
      </c>
      <c r="E347" s="4" t="s">
        <v>1665</v>
      </c>
      <c r="F347" s="2">
        <v>200</v>
      </c>
      <c r="G347" s="2">
        <v>850</v>
      </c>
      <c r="H347" s="2">
        <v>950</v>
      </c>
      <c r="I347" s="2">
        <v>900</v>
      </c>
      <c r="J347" s="2" t="s">
        <v>1666</v>
      </c>
      <c r="K347" s="2" t="s">
        <v>1667</v>
      </c>
      <c r="L347" s="3" t="s">
        <v>428</v>
      </c>
    </row>
    <row r="348" spans="1:12" x14ac:dyDescent="0.2">
      <c r="A348" s="3">
        <v>347</v>
      </c>
      <c r="B348" s="3" t="s">
        <v>18</v>
      </c>
      <c r="C348" s="3">
        <v>5</v>
      </c>
      <c r="D348" s="3" t="s">
        <v>1539</v>
      </c>
      <c r="E348" s="4" t="s">
        <v>1668</v>
      </c>
      <c r="F348" s="2" t="s">
        <v>1669</v>
      </c>
      <c r="G348" s="2" t="s">
        <v>1670</v>
      </c>
      <c r="H348" s="2" t="s">
        <v>1671</v>
      </c>
      <c r="I348" s="2" t="s">
        <v>1672</v>
      </c>
      <c r="J348" s="2" t="s">
        <v>1673</v>
      </c>
      <c r="K348" s="4" t="s">
        <v>1674</v>
      </c>
      <c r="L348" s="3" t="s">
        <v>428</v>
      </c>
    </row>
    <row r="349" spans="1:12" x14ac:dyDescent="0.2">
      <c r="A349" s="3">
        <v>348</v>
      </c>
      <c r="B349" s="3" t="s">
        <v>18</v>
      </c>
      <c r="C349" s="3">
        <v>5</v>
      </c>
      <c r="D349" s="3" t="s">
        <v>1539</v>
      </c>
      <c r="E349" s="4" t="s">
        <v>1675</v>
      </c>
      <c r="F349" s="2" t="s">
        <v>1676</v>
      </c>
      <c r="G349" s="2" t="s">
        <v>1677</v>
      </c>
      <c r="H349" s="2" t="s">
        <v>1678</v>
      </c>
      <c r="I349" s="2" t="s">
        <v>1679</v>
      </c>
      <c r="J349" s="2" t="s">
        <v>1680</v>
      </c>
      <c r="K349" s="2" t="s">
        <v>1681</v>
      </c>
      <c r="L349" s="3" t="s">
        <v>428</v>
      </c>
    </row>
    <row r="350" spans="1:12" x14ac:dyDescent="0.2">
      <c r="A350" s="3">
        <v>349</v>
      </c>
      <c r="B350" s="3" t="s">
        <v>18</v>
      </c>
      <c r="C350" s="3">
        <v>5</v>
      </c>
      <c r="D350" s="3" t="s">
        <v>6</v>
      </c>
      <c r="E350" s="4" t="s">
        <v>1682</v>
      </c>
      <c r="J350" s="2" t="s">
        <v>1683</v>
      </c>
      <c r="K350" s="2" t="s">
        <v>1684</v>
      </c>
      <c r="L350" s="3" t="s">
        <v>428</v>
      </c>
    </row>
    <row r="351" spans="1:12" x14ac:dyDescent="0.2">
      <c r="A351" s="3">
        <v>350</v>
      </c>
      <c r="B351" s="3" t="s">
        <v>18</v>
      </c>
      <c r="C351" s="3">
        <v>5</v>
      </c>
      <c r="D351" s="3" t="s">
        <v>6</v>
      </c>
      <c r="E351" s="4" t="s">
        <v>1685</v>
      </c>
      <c r="J351" s="2" t="s">
        <v>1686</v>
      </c>
      <c r="K351" s="2" t="s">
        <v>1687</v>
      </c>
      <c r="L351" s="3" t="s">
        <v>428</v>
      </c>
    </row>
    <row r="352" spans="1:12" x14ac:dyDescent="0.2">
      <c r="A352" s="3">
        <v>351</v>
      </c>
      <c r="B352" s="3" t="s">
        <v>18</v>
      </c>
      <c r="C352" s="3">
        <v>5</v>
      </c>
      <c r="D352" s="3" t="s">
        <v>6</v>
      </c>
      <c r="E352" s="4" t="s">
        <v>1688</v>
      </c>
      <c r="J352" s="2" t="s">
        <v>1686</v>
      </c>
      <c r="K352" s="2" t="s">
        <v>1689</v>
      </c>
      <c r="L352" s="3" t="s">
        <v>428</v>
      </c>
    </row>
    <row r="353" spans="1:12" x14ac:dyDescent="0.2">
      <c r="A353" s="3">
        <v>352</v>
      </c>
      <c r="B353" s="3" t="s">
        <v>18</v>
      </c>
      <c r="C353" s="3">
        <v>5</v>
      </c>
      <c r="D353" s="3" t="s">
        <v>6</v>
      </c>
      <c r="E353" s="4" t="s">
        <v>1690</v>
      </c>
      <c r="J353" s="2" t="s">
        <v>1683</v>
      </c>
      <c r="K353" s="2" t="s">
        <v>1691</v>
      </c>
      <c r="L353" s="3" t="s">
        <v>428</v>
      </c>
    </row>
    <row r="354" spans="1:12" x14ac:dyDescent="0.2">
      <c r="A354" s="3">
        <v>353</v>
      </c>
      <c r="B354" s="3" t="s">
        <v>18</v>
      </c>
      <c r="C354" s="3">
        <v>5</v>
      </c>
      <c r="D354" s="3" t="s">
        <v>8</v>
      </c>
      <c r="E354" s="4" t="s">
        <v>1692</v>
      </c>
      <c r="F354" s="2">
        <v>400</v>
      </c>
      <c r="G354" s="2">
        <v>640</v>
      </c>
      <c r="H354" s="2">
        <v>240</v>
      </c>
      <c r="I354" s="2">
        <v>860</v>
      </c>
      <c r="J354" s="2" t="s">
        <v>1637</v>
      </c>
      <c r="K354" s="2" t="s">
        <v>1693</v>
      </c>
      <c r="L354" s="3" t="s">
        <v>428</v>
      </c>
    </row>
    <row r="355" spans="1:12" x14ac:dyDescent="0.2">
      <c r="A355" s="3">
        <v>354</v>
      </c>
      <c r="B355" s="3" t="s">
        <v>18</v>
      </c>
      <c r="C355" s="3">
        <v>5</v>
      </c>
      <c r="D355" s="3" t="s">
        <v>8</v>
      </c>
      <c r="E355" s="4" t="s">
        <v>1694</v>
      </c>
      <c r="F355" s="2" t="s">
        <v>1695</v>
      </c>
      <c r="G355" s="2" t="s">
        <v>1696</v>
      </c>
      <c r="H355" s="2" t="s">
        <v>1697</v>
      </c>
      <c r="I355" s="2" t="s">
        <v>1698</v>
      </c>
      <c r="J355" s="2" t="s">
        <v>1557</v>
      </c>
      <c r="K355" s="2" t="s">
        <v>1699</v>
      </c>
      <c r="L355" s="3" t="s">
        <v>428</v>
      </c>
    </row>
    <row r="356" spans="1:12" x14ac:dyDescent="0.2">
      <c r="A356" s="3">
        <v>355</v>
      </c>
      <c r="B356" s="3" t="s">
        <v>18</v>
      </c>
      <c r="C356" s="3">
        <v>10</v>
      </c>
      <c r="D356" s="3" t="s">
        <v>62</v>
      </c>
      <c r="E356" s="4" t="s">
        <v>1707</v>
      </c>
      <c r="F356" s="2" t="s">
        <v>1708</v>
      </c>
      <c r="G356" s="2" t="s">
        <v>1709</v>
      </c>
      <c r="H356" s="2" t="s">
        <v>1710</v>
      </c>
      <c r="I356" s="2" t="s">
        <v>1711</v>
      </c>
      <c r="J356" s="2" t="s">
        <v>1746</v>
      </c>
      <c r="K356" s="4" t="s">
        <v>1747</v>
      </c>
      <c r="L356" s="3" t="s">
        <v>1706</v>
      </c>
    </row>
    <row r="357" spans="1:12" x14ac:dyDescent="0.2">
      <c r="A357" s="3">
        <v>356</v>
      </c>
      <c r="B357" s="3" t="s">
        <v>18</v>
      </c>
      <c r="C357" s="3">
        <v>10</v>
      </c>
      <c r="D357" s="3" t="s">
        <v>6</v>
      </c>
      <c r="E357" s="4" t="s">
        <v>1712</v>
      </c>
      <c r="J357" s="2" t="s">
        <v>1748</v>
      </c>
      <c r="K357" s="4" t="s">
        <v>1749</v>
      </c>
      <c r="L357" s="3" t="s">
        <v>1706</v>
      </c>
    </row>
    <row r="358" spans="1:12" x14ac:dyDescent="0.2">
      <c r="A358" s="3">
        <v>357</v>
      </c>
      <c r="B358" s="3" t="s">
        <v>18</v>
      </c>
      <c r="C358" s="3">
        <v>10</v>
      </c>
      <c r="D358" s="3" t="s">
        <v>8</v>
      </c>
      <c r="E358" s="4" t="s">
        <v>1713</v>
      </c>
      <c r="F358" s="2" t="s">
        <v>1714</v>
      </c>
      <c r="G358" s="2" t="s">
        <v>1715</v>
      </c>
      <c r="H358" s="2" t="s">
        <v>1716</v>
      </c>
      <c r="I358" s="2" t="s">
        <v>1717</v>
      </c>
      <c r="J358" s="2" t="s">
        <v>1750</v>
      </c>
      <c r="K358" s="10" t="s">
        <v>1751</v>
      </c>
      <c r="L358" s="3" t="s">
        <v>1706</v>
      </c>
    </row>
    <row r="359" spans="1:12" x14ac:dyDescent="0.2">
      <c r="A359" s="3">
        <v>358</v>
      </c>
      <c r="B359" s="3" t="s">
        <v>18</v>
      </c>
      <c r="C359" s="3">
        <v>10</v>
      </c>
      <c r="D359" s="3" t="s">
        <v>6</v>
      </c>
      <c r="E359" s="4" t="s">
        <v>1718</v>
      </c>
      <c r="J359" s="2" t="s">
        <v>1752</v>
      </c>
      <c r="K359" s="4" t="s">
        <v>1753</v>
      </c>
      <c r="L359" s="3" t="s">
        <v>1706</v>
      </c>
    </row>
    <row r="360" spans="1:12" x14ac:dyDescent="0.2">
      <c r="A360" s="3">
        <v>359</v>
      </c>
      <c r="B360" s="3" t="s">
        <v>18</v>
      </c>
      <c r="C360" s="3">
        <v>10</v>
      </c>
      <c r="D360" s="3" t="s">
        <v>62</v>
      </c>
      <c r="E360" s="4" t="s">
        <v>1719</v>
      </c>
      <c r="F360" s="2" t="s">
        <v>1720</v>
      </c>
      <c r="G360" s="2" t="s">
        <v>1721</v>
      </c>
      <c r="H360" s="2" t="s">
        <v>1722</v>
      </c>
      <c r="I360" s="2" t="s">
        <v>1723</v>
      </c>
      <c r="J360" s="2" t="s">
        <v>1754</v>
      </c>
      <c r="K360" s="10" t="s">
        <v>1755</v>
      </c>
      <c r="L360" s="3" t="s">
        <v>1706</v>
      </c>
    </row>
    <row r="361" spans="1:12" x14ac:dyDescent="0.2">
      <c r="A361" s="3">
        <v>360</v>
      </c>
      <c r="B361" s="3" t="s">
        <v>18</v>
      </c>
      <c r="C361" s="3">
        <v>10</v>
      </c>
      <c r="D361" s="3" t="s">
        <v>8</v>
      </c>
      <c r="E361" s="4" t="s">
        <v>1724</v>
      </c>
      <c r="F361" s="2">
        <v>20</v>
      </c>
      <c r="G361" s="2">
        <v>30</v>
      </c>
      <c r="H361" s="2">
        <v>35</v>
      </c>
      <c r="I361" s="2">
        <v>50</v>
      </c>
      <c r="J361" s="2" t="s">
        <v>1750</v>
      </c>
      <c r="K361" s="4" t="s">
        <v>1756</v>
      </c>
      <c r="L361" s="3" t="s">
        <v>1706</v>
      </c>
    </row>
    <row r="362" spans="1:12" x14ac:dyDescent="0.2">
      <c r="A362" s="3">
        <v>361</v>
      </c>
      <c r="B362" s="3" t="s">
        <v>18</v>
      </c>
      <c r="C362" s="3">
        <v>10</v>
      </c>
      <c r="D362" s="3" t="s">
        <v>8</v>
      </c>
      <c r="E362" s="4" t="s">
        <v>1725</v>
      </c>
      <c r="F362" s="2">
        <v>15</v>
      </c>
      <c r="G362" s="2">
        <v>60</v>
      </c>
      <c r="H362" s="2">
        <v>0</v>
      </c>
      <c r="I362" s="2">
        <v>48</v>
      </c>
      <c r="J362" s="2" t="s">
        <v>1757</v>
      </c>
      <c r="K362" s="10" t="s">
        <v>1758</v>
      </c>
      <c r="L362" s="3" t="s">
        <v>1706</v>
      </c>
    </row>
    <row r="363" spans="1:12" x14ac:dyDescent="0.2">
      <c r="A363" s="3">
        <v>362</v>
      </c>
      <c r="B363" s="3" t="s">
        <v>18</v>
      </c>
      <c r="C363" s="3">
        <v>10</v>
      </c>
      <c r="D363" s="3" t="s">
        <v>8</v>
      </c>
      <c r="E363" s="4" t="s">
        <v>1726</v>
      </c>
      <c r="F363" s="2">
        <v>240</v>
      </c>
      <c r="G363" s="2">
        <v>250</v>
      </c>
      <c r="H363" s="2">
        <v>300</v>
      </c>
      <c r="I363" s="2">
        <v>310</v>
      </c>
      <c r="J363" s="2" t="s">
        <v>1759</v>
      </c>
      <c r="K363" s="10" t="s">
        <v>1760</v>
      </c>
      <c r="L363" s="3" t="s">
        <v>1706</v>
      </c>
    </row>
    <row r="364" spans="1:12" x14ac:dyDescent="0.2">
      <c r="A364" s="3">
        <v>363</v>
      </c>
      <c r="B364" s="3" t="s">
        <v>18</v>
      </c>
      <c r="C364" s="3">
        <v>10</v>
      </c>
      <c r="D364" s="3" t="s">
        <v>62</v>
      </c>
      <c r="E364" s="4" t="s">
        <v>1727</v>
      </c>
      <c r="F364" s="2" t="s">
        <v>1728</v>
      </c>
      <c r="G364" s="2" t="s">
        <v>1729</v>
      </c>
      <c r="H364" s="2" t="s">
        <v>1730</v>
      </c>
      <c r="I364" s="2" t="s">
        <v>1731</v>
      </c>
      <c r="J364" s="2" t="s">
        <v>1761</v>
      </c>
      <c r="K364" s="10" t="s">
        <v>1762</v>
      </c>
      <c r="L364" s="3" t="s">
        <v>1706</v>
      </c>
    </row>
    <row r="365" spans="1:12" x14ac:dyDescent="0.2">
      <c r="A365" s="3">
        <v>364</v>
      </c>
      <c r="B365" s="3" t="s">
        <v>18</v>
      </c>
      <c r="C365" s="3">
        <v>10</v>
      </c>
      <c r="D365" s="3" t="s">
        <v>8</v>
      </c>
      <c r="E365" s="4" t="s">
        <v>1732</v>
      </c>
      <c r="F365" s="2">
        <v>40</v>
      </c>
      <c r="G365" s="2">
        <v>0</v>
      </c>
      <c r="H365" s="2">
        <v>50</v>
      </c>
      <c r="I365" s="2">
        <v>60</v>
      </c>
      <c r="J365" s="2" t="s">
        <v>1757</v>
      </c>
      <c r="K365" s="10" t="s">
        <v>1763</v>
      </c>
      <c r="L365" s="3" t="s">
        <v>1706</v>
      </c>
    </row>
    <row r="366" spans="1:12" x14ac:dyDescent="0.2">
      <c r="A366" s="3">
        <v>365</v>
      </c>
      <c r="B366" s="3" t="s">
        <v>18</v>
      </c>
      <c r="C366" s="3">
        <v>10</v>
      </c>
      <c r="D366" s="3" t="s">
        <v>8</v>
      </c>
      <c r="E366" s="4" t="s">
        <v>1733</v>
      </c>
      <c r="F366" s="2">
        <v>15</v>
      </c>
      <c r="G366" s="2">
        <v>25</v>
      </c>
      <c r="H366" s="2">
        <v>35</v>
      </c>
      <c r="I366" s="2">
        <v>40</v>
      </c>
      <c r="J366" s="2" t="s">
        <v>1764</v>
      </c>
      <c r="K366" s="10" t="s">
        <v>1765</v>
      </c>
      <c r="L366" s="3" t="s">
        <v>1706</v>
      </c>
    </row>
    <row r="367" spans="1:12" x14ac:dyDescent="0.2">
      <c r="A367" s="3">
        <v>366</v>
      </c>
      <c r="B367" s="3" t="s">
        <v>18</v>
      </c>
      <c r="C367" s="3">
        <v>10</v>
      </c>
      <c r="D367" s="3" t="s">
        <v>6</v>
      </c>
      <c r="E367" s="4" t="s">
        <v>1734</v>
      </c>
      <c r="J367" s="2" t="s">
        <v>1766</v>
      </c>
      <c r="K367" s="4" t="s">
        <v>1767</v>
      </c>
      <c r="L367" s="3" t="s">
        <v>1706</v>
      </c>
    </row>
    <row r="368" spans="1:12" x14ac:dyDescent="0.2">
      <c r="A368" s="3">
        <v>367</v>
      </c>
      <c r="B368" s="3" t="s">
        <v>18</v>
      </c>
      <c r="C368" s="3">
        <v>10</v>
      </c>
      <c r="D368" s="3" t="s">
        <v>6</v>
      </c>
      <c r="E368" s="4" t="s">
        <v>1735</v>
      </c>
      <c r="J368" s="2" t="s">
        <v>1768</v>
      </c>
      <c r="K368" s="4" t="s">
        <v>1769</v>
      </c>
      <c r="L368" s="3" t="s">
        <v>1706</v>
      </c>
    </row>
    <row r="369" spans="1:12" x14ac:dyDescent="0.2">
      <c r="A369" s="3">
        <v>368</v>
      </c>
      <c r="B369" s="3" t="s">
        <v>18</v>
      </c>
      <c r="C369" s="3">
        <v>10</v>
      </c>
      <c r="D369" s="3" t="s">
        <v>62</v>
      </c>
      <c r="E369" s="4" t="s">
        <v>1736</v>
      </c>
      <c r="F369" s="2" t="s">
        <v>1737</v>
      </c>
      <c r="G369" s="2" t="s">
        <v>1738</v>
      </c>
      <c r="H369" s="2" t="s">
        <v>1739</v>
      </c>
      <c r="I369" s="2" t="s">
        <v>1740</v>
      </c>
      <c r="J369" s="2" t="s">
        <v>1770</v>
      </c>
      <c r="K369" s="10" t="s">
        <v>1771</v>
      </c>
      <c r="L369" s="3" t="s">
        <v>1706</v>
      </c>
    </row>
    <row r="370" spans="1:12" x14ac:dyDescent="0.2">
      <c r="A370" s="3">
        <v>369</v>
      </c>
      <c r="B370" s="3" t="s">
        <v>18</v>
      </c>
      <c r="C370" s="3">
        <v>10</v>
      </c>
      <c r="D370" s="3" t="s">
        <v>62</v>
      </c>
      <c r="E370" s="4" t="s">
        <v>1741</v>
      </c>
      <c r="F370" s="2" t="s">
        <v>1742</v>
      </c>
      <c r="G370" s="2" t="s">
        <v>1743</v>
      </c>
      <c r="H370" s="2" t="s">
        <v>1744</v>
      </c>
      <c r="I370" s="2" t="s">
        <v>1745</v>
      </c>
      <c r="J370" s="2" t="s">
        <v>1772</v>
      </c>
      <c r="K370" s="4" t="s">
        <v>1773</v>
      </c>
      <c r="L370" s="3" t="s">
        <v>1706</v>
      </c>
    </row>
    <row r="371" spans="1:12" x14ac:dyDescent="0.2">
      <c r="A371" s="3">
        <v>370</v>
      </c>
      <c r="B371" s="3" t="s">
        <v>18</v>
      </c>
      <c r="C371" s="3">
        <v>10</v>
      </c>
      <c r="D371" s="3" t="s">
        <v>62</v>
      </c>
      <c r="E371" s="4" t="s">
        <v>1777</v>
      </c>
      <c r="F371" s="2" t="s">
        <v>1778</v>
      </c>
      <c r="G371" s="2" t="s">
        <v>1779</v>
      </c>
      <c r="H371" s="2" t="s">
        <v>1780</v>
      </c>
      <c r="I371" s="2" t="s">
        <v>1781</v>
      </c>
      <c r="J371" s="2" t="s">
        <v>1782</v>
      </c>
      <c r="K371" s="2" t="s">
        <v>1783</v>
      </c>
      <c r="L371" s="3" t="s">
        <v>1774</v>
      </c>
    </row>
    <row r="372" spans="1:12" x14ac:dyDescent="0.2">
      <c r="A372" s="3">
        <v>371</v>
      </c>
      <c r="B372" s="3" t="s">
        <v>18</v>
      </c>
      <c r="C372" s="3">
        <v>10</v>
      </c>
      <c r="D372" s="3" t="s">
        <v>6</v>
      </c>
      <c r="E372" s="4" t="s">
        <v>1784</v>
      </c>
      <c r="J372" s="2" t="s">
        <v>92</v>
      </c>
      <c r="K372" s="4" t="s">
        <v>1785</v>
      </c>
      <c r="L372" s="3" t="s">
        <v>1774</v>
      </c>
    </row>
    <row r="373" spans="1:12" x14ac:dyDescent="0.2">
      <c r="A373" s="3">
        <v>372</v>
      </c>
      <c r="B373" s="3" t="s">
        <v>18</v>
      </c>
      <c r="C373" s="3">
        <v>10</v>
      </c>
      <c r="D373" s="3" t="s">
        <v>6</v>
      </c>
      <c r="E373" s="4" t="s">
        <v>1786</v>
      </c>
      <c r="J373" s="2" t="s">
        <v>92</v>
      </c>
      <c r="K373" s="4" t="s">
        <v>1787</v>
      </c>
      <c r="L373" s="3" t="s">
        <v>1774</v>
      </c>
    </row>
    <row r="374" spans="1:12" x14ac:dyDescent="0.2">
      <c r="A374" s="3">
        <v>373</v>
      </c>
      <c r="B374" s="3" t="s">
        <v>18</v>
      </c>
      <c r="C374" s="3">
        <v>10</v>
      </c>
      <c r="D374" s="3" t="s">
        <v>1789</v>
      </c>
      <c r="E374" s="4" t="s">
        <v>1788</v>
      </c>
      <c r="F374" s="2" t="s">
        <v>1790</v>
      </c>
      <c r="G374" s="2" t="s">
        <v>1791</v>
      </c>
      <c r="H374" s="2" t="s">
        <v>1792</v>
      </c>
      <c r="I374" s="2" t="s">
        <v>1793</v>
      </c>
      <c r="J374" s="2" t="s">
        <v>1794</v>
      </c>
      <c r="K374" s="4" t="s">
        <v>1795</v>
      </c>
      <c r="L374" s="3" t="s">
        <v>1774</v>
      </c>
    </row>
    <row r="375" spans="1:12" x14ac:dyDescent="0.2">
      <c r="A375" s="3">
        <v>374</v>
      </c>
      <c r="B375" s="3" t="s">
        <v>18</v>
      </c>
      <c r="C375" s="3">
        <v>10</v>
      </c>
      <c r="D375" s="3" t="s">
        <v>1797</v>
      </c>
      <c r="E375" s="4" t="s">
        <v>1796</v>
      </c>
      <c r="F375" s="2" t="s">
        <v>1798</v>
      </c>
      <c r="G375" s="2" t="s">
        <v>1799</v>
      </c>
      <c r="H375" s="2" t="s">
        <v>1800</v>
      </c>
      <c r="I375" s="2" t="s">
        <v>1801</v>
      </c>
      <c r="J375" s="2" t="s">
        <v>1802</v>
      </c>
      <c r="K375" s="2" t="s">
        <v>1803</v>
      </c>
      <c r="L375" s="3" t="s">
        <v>1774</v>
      </c>
    </row>
    <row r="376" spans="1:12" x14ac:dyDescent="0.2">
      <c r="A376" s="3">
        <v>375</v>
      </c>
      <c r="B376" s="3" t="s">
        <v>18</v>
      </c>
      <c r="C376" s="3">
        <v>10</v>
      </c>
      <c r="D376" s="3" t="s">
        <v>6</v>
      </c>
      <c r="E376" s="4" t="s">
        <v>1804</v>
      </c>
      <c r="J376" s="2" t="s">
        <v>1805</v>
      </c>
      <c r="K376" s="4" t="s">
        <v>1806</v>
      </c>
      <c r="L376" s="3" t="s">
        <v>1774</v>
      </c>
    </row>
    <row r="377" spans="1:12" x14ac:dyDescent="0.2">
      <c r="A377" s="3">
        <v>376</v>
      </c>
      <c r="B377" s="3" t="s">
        <v>18</v>
      </c>
      <c r="C377" s="3">
        <v>10</v>
      </c>
      <c r="D377" s="3" t="s">
        <v>1789</v>
      </c>
      <c r="E377" s="4" t="s">
        <v>1807</v>
      </c>
      <c r="F377" s="2" t="s">
        <v>1808</v>
      </c>
      <c r="G377" s="2" t="s">
        <v>1809</v>
      </c>
      <c r="H377" s="2" t="s">
        <v>1810</v>
      </c>
      <c r="I377" s="2" t="s">
        <v>1811</v>
      </c>
      <c r="J377" s="2" t="s">
        <v>1812</v>
      </c>
      <c r="K377" s="4" t="s">
        <v>1813</v>
      </c>
      <c r="L377" s="3" t="s">
        <v>1774</v>
      </c>
    </row>
    <row r="378" spans="1:12" x14ac:dyDescent="0.2">
      <c r="A378" s="3">
        <v>377</v>
      </c>
      <c r="B378" s="3" t="s">
        <v>18</v>
      </c>
      <c r="C378" s="3">
        <v>10</v>
      </c>
      <c r="D378" s="3" t="s">
        <v>1797</v>
      </c>
      <c r="E378" s="4" t="s">
        <v>1814</v>
      </c>
      <c r="F378" s="2" t="s">
        <v>1815</v>
      </c>
      <c r="G378" s="2" t="s">
        <v>1816</v>
      </c>
      <c r="H378" s="2" t="s">
        <v>1817</v>
      </c>
      <c r="I378" s="2" t="s">
        <v>1818</v>
      </c>
      <c r="J378" s="2" t="s">
        <v>1819</v>
      </c>
      <c r="K378" s="4" t="s">
        <v>1820</v>
      </c>
      <c r="L378" s="3" t="s">
        <v>1774</v>
      </c>
    </row>
    <row r="379" spans="1:12" x14ac:dyDescent="0.2">
      <c r="A379" s="3">
        <v>378</v>
      </c>
      <c r="B379" s="3" t="s">
        <v>18</v>
      </c>
      <c r="C379" s="3">
        <v>10</v>
      </c>
      <c r="D379" s="3" t="s">
        <v>1797</v>
      </c>
      <c r="E379" s="4" t="s">
        <v>1821</v>
      </c>
      <c r="F379" s="2" t="s">
        <v>1822</v>
      </c>
      <c r="G379" s="2" t="s">
        <v>1823</v>
      </c>
      <c r="H379" s="2" t="s">
        <v>1824</v>
      </c>
      <c r="I379" s="2" t="s">
        <v>1825</v>
      </c>
      <c r="J379" s="2" t="s">
        <v>1826</v>
      </c>
      <c r="K379" s="2" t="s">
        <v>1827</v>
      </c>
      <c r="L379" s="3" t="s">
        <v>1774</v>
      </c>
    </row>
    <row r="380" spans="1:12" x14ac:dyDescent="0.2">
      <c r="A380" s="3">
        <v>379</v>
      </c>
      <c r="B380" s="3" t="s">
        <v>18</v>
      </c>
      <c r="C380" s="3">
        <v>10</v>
      </c>
      <c r="D380" s="3" t="s">
        <v>1797</v>
      </c>
      <c r="E380" s="4" t="s">
        <v>1828</v>
      </c>
      <c r="F380" s="2" t="s">
        <v>1829</v>
      </c>
      <c r="G380" s="2" t="s">
        <v>1830</v>
      </c>
      <c r="H380" s="2" t="s">
        <v>1831</v>
      </c>
      <c r="I380" s="2" t="s">
        <v>1832</v>
      </c>
      <c r="J380" s="2" t="s">
        <v>1802</v>
      </c>
      <c r="K380" s="2" t="s">
        <v>1833</v>
      </c>
      <c r="L380" s="3" t="s">
        <v>1774</v>
      </c>
    </row>
    <row r="381" spans="1:12" x14ac:dyDescent="0.2">
      <c r="A381" s="3">
        <v>380</v>
      </c>
      <c r="B381" s="3" t="s">
        <v>18</v>
      </c>
      <c r="C381" s="3">
        <v>10</v>
      </c>
      <c r="D381" s="3" t="s">
        <v>6</v>
      </c>
      <c r="E381" s="4" t="s">
        <v>1834</v>
      </c>
      <c r="J381" s="2" t="s">
        <v>92</v>
      </c>
      <c r="K381" s="4" t="s">
        <v>1835</v>
      </c>
      <c r="L381" s="3" t="s">
        <v>1774</v>
      </c>
    </row>
    <row r="382" spans="1:12" x14ac:dyDescent="0.2">
      <c r="A382" s="3">
        <v>381</v>
      </c>
      <c r="B382" s="3" t="s">
        <v>18</v>
      </c>
      <c r="C382" s="3">
        <v>10</v>
      </c>
      <c r="D382" s="3" t="s">
        <v>6</v>
      </c>
      <c r="E382" s="4" t="s">
        <v>1836</v>
      </c>
      <c r="J382" s="2" t="s">
        <v>1805</v>
      </c>
      <c r="K382" s="4" t="s">
        <v>1837</v>
      </c>
      <c r="L382" s="3" t="s">
        <v>1774</v>
      </c>
    </row>
    <row r="383" spans="1:12" x14ac:dyDescent="0.2">
      <c r="A383" s="3">
        <v>382</v>
      </c>
      <c r="B383" s="3" t="s">
        <v>18</v>
      </c>
      <c r="C383" s="3">
        <v>10</v>
      </c>
      <c r="D383" s="3" t="s">
        <v>1789</v>
      </c>
      <c r="E383" s="4" t="s">
        <v>1838</v>
      </c>
      <c r="F383" s="2">
        <v>40</v>
      </c>
      <c r="G383" s="2">
        <v>0</v>
      </c>
      <c r="H383" s="2">
        <v>50</v>
      </c>
      <c r="I383" s="2">
        <v>60</v>
      </c>
      <c r="J383" s="2" t="s">
        <v>1839</v>
      </c>
      <c r="K383" s="4" t="s">
        <v>1840</v>
      </c>
      <c r="L383" s="3" t="s">
        <v>1774</v>
      </c>
    </row>
    <row r="384" spans="1:12" x14ac:dyDescent="0.2">
      <c r="A384" s="3">
        <v>383</v>
      </c>
      <c r="B384" s="3" t="s">
        <v>18</v>
      </c>
      <c r="C384" s="3">
        <v>10</v>
      </c>
      <c r="D384" s="3" t="s">
        <v>1797</v>
      </c>
      <c r="E384" s="4" t="s">
        <v>1841</v>
      </c>
      <c r="F384" s="2" t="s">
        <v>1842</v>
      </c>
      <c r="G384" s="2" t="s">
        <v>1843</v>
      </c>
      <c r="H384" s="2" t="s">
        <v>1844</v>
      </c>
      <c r="I384" s="2" t="s">
        <v>1845</v>
      </c>
      <c r="J384" s="2" t="s">
        <v>1846</v>
      </c>
      <c r="K384" s="4" t="s">
        <v>1847</v>
      </c>
      <c r="L384" s="3" t="s">
        <v>428</v>
      </c>
    </row>
    <row r="385" spans="1:12" x14ac:dyDescent="0.2">
      <c r="A385" s="3">
        <v>384</v>
      </c>
      <c r="B385" s="3" t="s">
        <v>18</v>
      </c>
      <c r="C385" s="3">
        <v>10</v>
      </c>
      <c r="D385" s="3" t="s">
        <v>1789</v>
      </c>
      <c r="E385" s="4" t="s">
        <v>1848</v>
      </c>
      <c r="F385" s="2">
        <v>40</v>
      </c>
      <c r="G385" s="2">
        <v>50</v>
      </c>
      <c r="H385" s="2">
        <v>10</v>
      </c>
      <c r="I385" s="2">
        <v>80</v>
      </c>
      <c r="J385" s="2" t="s">
        <v>1849</v>
      </c>
      <c r="K385" s="4" t="s">
        <v>1850</v>
      </c>
      <c r="L385" s="3" t="s">
        <v>428</v>
      </c>
    </row>
    <row r="386" spans="1:12" x14ac:dyDescent="0.2">
      <c r="A386" s="3">
        <v>385</v>
      </c>
      <c r="B386" s="3" t="s">
        <v>18</v>
      </c>
      <c r="C386" s="3">
        <v>10</v>
      </c>
      <c r="D386" s="3" t="s">
        <v>1789</v>
      </c>
      <c r="E386" s="4" t="s">
        <v>1851</v>
      </c>
      <c r="F386" s="2" t="s">
        <v>1852</v>
      </c>
      <c r="G386" s="2" t="s">
        <v>1853</v>
      </c>
      <c r="H386" s="2" t="s">
        <v>1854</v>
      </c>
      <c r="I386" s="2" t="s">
        <v>1855</v>
      </c>
      <c r="J386" s="2" t="s">
        <v>1849</v>
      </c>
      <c r="K386" s="2" t="s">
        <v>1856</v>
      </c>
      <c r="L386" s="3" t="s">
        <v>428</v>
      </c>
    </row>
    <row r="387" spans="1:12" x14ac:dyDescent="0.2">
      <c r="A387" s="3">
        <v>386</v>
      </c>
      <c r="B387" s="3" t="s">
        <v>18</v>
      </c>
      <c r="C387" s="3">
        <v>10</v>
      </c>
      <c r="D387" s="3" t="s">
        <v>1797</v>
      </c>
      <c r="E387" s="4" t="s">
        <v>1857</v>
      </c>
      <c r="F387" s="2" t="s">
        <v>1858</v>
      </c>
      <c r="G387" s="2" t="s">
        <v>1859</v>
      </c>
      <c r="H387" s="2" t="s">
        <v>1860</v>
      </c>
      <c r="I387" s="2" t="s">
        <v>1861</v>
      </c>
      <c r="J387" s="2" t="s">
        <v>1862</v>
      </c>
      <c r="K387" s="2" t="s">
        <v>1863</v>
      </c>
      <c r="L387" s="3" t="s">
        <v>428</v>
      </c>
    </row>
    <row r="388" spans="1:12" x14ac:dyDescent="0.2">
      <c r="A388" s="3">
        <v>387</v>
      </c>
      <c r="B388" s="3" t="s">
        <v>18</v>
      </c>
      <c r="C388" s="3">
        <v>10</v>
      </c>
      <c r="D388" s="3" t="s">
        <v>1789</v>
      </c>
      <c r="E388" s="4" t="s">
        <v>1864</v>
      </c>
      <c r="F388" s="2" t="s">
        <v>1865</v>
      </c>
      <c r="G388" s="2" t="s">
        <v>1866</v>
      </c>
      <c r="H388" s="2" t="s">
        <v>1867</v>
      </c>
      <c r="I388" s="2" t="s">
        <v>1868</v>
      </c>
      <c r="J388" s="2" t="s">
        <v>1849</v>
      </c>
      <c r="K388" s="2" t="s">
        <v>1869</v>
      </c>
      <c r="L388" s="3" t="s">
        <v>428</v>
      </c>
    </row>
    <row r="389" spans="1:12" x14ac:dyDescent="0.2">
      <c r="A389" s="3">
        <v>388</v>
      </c>
      <c r="B389" s="3" t="s">
        <v>18</v>
      </c>
      <c r="C389" s="3">
        <v>10</v>
      </c>
      <c r="D389" s="3" t="s">
        <v>1797</v>
      </c>
      <c r="E389" s="4" t="s">
        <v>1870</v>
      </c>
      <c r="F389" s="2" t="s">
        <v>1871</v>
      </c>
      <c r="G389" s="2" t="s">
        <v>1872</v>
      </c>
      <c r="H389" s="2" t="s">
        <v>1873</v>
      </c>
      <c r="I389" s="2" t="s">
        <v>1874</v>
      </c>
      <c r="J389" s="2" t="s">
        <v>1875</v>
      </c>
      <c r="K389" s="2" t="s">
        <v>1876</v>
      </c>
      <c r="L389" s="3" t="s">
        <v>428</v>
      </c>
    </row>
    <row r="390" spans="1:12" x14ac:dyDescent="0.2">
      <c r="A390" s="3">
        <v>389</v>
      </c>
      <c r="B390" s="3" t="s">
        <v>18</v>
      </c>
      <c r="C390" s="3">
        <v>10</v>
      </c>
      <c r="D390" s="3" t="s">
        <v>1797</v>
      </c>
      <c r="E390" s="4" t="s">
        <v>1877</v>
      </c>
      <c r="F390" s="2" t="s">
        <v>1878</v>
      </c>
      <c r="G390" s="2" t="s">
        <v>1879</v>
      </c>
      <c r="H390" s="2" t="s">
        <v>1880</v>
      </c>
      <c r="I390" s="2" t="s">
        <v>1881</v>
      </c>
      <c r="J390" s="2" t="s">
        <v>1802</v>
      </c>
      <c r="K390" s="2" t="s">
        <v>1882</v>
      </c>
      <c r="L390" s="3" t="s">
        <v>428</v>
      </c>
    </row>
    <row r="391" spans="1:12" x14ac:dyDescent="0.2">
      <c r="A391" s="3">
        <v>390</v>
      </c>
      <c r="B391" s="3" t="s">
        <v>18</v>
      </c>
      <c r="C391" s="3">
        <v>10</v>
      </c>
      <c r="D391" s="3" t="s">
        <v>1797</v>
      </c>
      <c r="E391" s="4" t="s">
        <v>1883</v>
      </c>
      <c r="F391" s="2" t="s">
        <v>1884</v>
      </c>
      <c r="G391" s="2" t="s">
        <v>1885</v>
      </c>
      <c r="H391" s="2" t="s">
        <v>1886</v>
      </c>
      <c r="I391" s="2" t="s">
        <v>1887</v>
      </c>
      <c r="J391" s="2" t="s">
        <v>1888</v>
      </c>
      <c r="K391" s="4" t="s">
        <v>1889</v>
      </c>
      <c r="L391" s="3" t="s">
        <v>428</v>
      </c>
    </row>
    <row r="392" spans="1:12" x14ac:dyDescent="0.2">
      <c r="A392" s="3">
        <v>391</v>
      </c>
      <c r="B392" s="3" t="s">
        <v>18</v>
      </c>
      <c r="C392" s="3">
        <v>10</v>
      </c>
      <c r="D392" s="3" t="s">
        <v>1797</v>
      </c>
      <c r="E392" s="4" t="s">
        <v>1890</v>
      </c>
      <c r="F392" s="2" t="s">
        <v>1891</v>
      </c>
      <c r="G392" s="2" t="s">
        <v>1892</v>
      </c>
      <c r="H392" s="2" t="s">
        <v>1893</v>
      </c>
      <c r="I392" s="2" t="s">
        <v>1894</v>
      </c>
      <c r="J392" s="2" t="s">
        <v>1895</v>
      </c>
      <c r="K392" s="2" t="s">
        <v>1896</v>
      </c>
      <c r="L392" s="3" t="s">
        <v>428</v>
      </c>
    </row>
    <row r="393" spans="1:12" x14ac:dyDescent="0.2">
      <c r="A393" s="3">
        <v>392</v>
      </c>
      <c r="B393" s="3" t="s">
        <v>18</v>
      </c>
      <c r="C393" s="3">
        <v>10</v>
      </c>
      <c r="D393" s="3" t="s">
        <v>1789</v>
      </c>
      <c r="E393" s="4" t="s">
        <v>1897</v>
      </c>
      <c r="F393" s="2" t="s">
        <v>1898</v>
      </c>
      <c r="G393" s="2" t="s">
        <v>1899</v>
      </c>
      <c r="H393" s="2" t="s">
        <v>1900</v>
      </c>
      <c r="I393" s="2" t="s">
        <v>1901</v>
      </c>
      <c r="J393" s="2" t="s">
        <v>1802</v>
      </c>
      <c r="K393" s="2" t="s">
        <v>1902</v>
      </c>
      <c r="L393" s="3" t="s">
        <v>428</v>
      </c>
    </row>
    <row r="394" spans="1:12" x14ac:dyDescent="0.2">
      <c r="A394" s="3">
        <v>393</v>
      </c>
      <c r="B394" s="3" t="s">
        <v>18</v>
      </c>
      <c r="C394" s="3">
        <v>11</v>
      </c>
      <c r="L394" s="3" t="s">
        <v>427</v>
      </c>
    </row>
    <row r="395" spans="1:12" x14ac:dyDescent="0.2">
      <c r="A395" s="3">
        <v>394</v>
      </c>
      <c r="B395" s="3" t="s">
        <v>18</v>
      </c>
      <c r="C395" s="3">
        <v>11</v>
      </c>
      <c r="L395" s="3" t="s">
        <v>427</v>
      </c>
    </row>
    <row r="396" spans="1:12" x14ac:dyDescent="0.2">
      <c r="A396" s="3">
        <v>395</v>
      </c>
      <c r="B396" s="3" t="s">
        <v>18</v>
      </c>
      <c r="C396" s="3">
        <v>11</v>
      </c>
      <c r="L396" s="3" t="s">
        <v>427</v>
      </c>
    </row>
    <row r="397" spans="1:12" x14ac:dyDescent="0.2">
      <c r="A397" s="3">
        <v>396</v>
      </c>
      <c r="B397" s="3" t="s">
        <v>18</v>
      </c>
      <c r="C397" s="3">
        <v>11</v>
      </c>
      <c r="L397" s="3" t="s">
        <v>427</v>
      </c>
    </row>
    <row r="398" spans="1:12" x14ac:dyDescent="0.2">
      <c r="A398" s="3">
        <v>397</v>
      </c>
      <c r="B398" s="3" t="s">
        <v>18</v>
      </c>
      <c r="C398" s="3">
        <v>11</v>
      </c>
      <c r="L398" s="3" t="s">
        <v>427</v>
      </c>
    </row>
    <row r="399" spans="1:12" x14ac:dyDescent="0.2">
      <c r="A399" s="3">
        <v>398</v>
      </c>
      <c r="B399" s="3" t="s">
        <v>18</v>
      </c>
      <c r="C399" s="3">
        <v>11</v>
      </c>
      <c r="L399" s="3" t="s">
        <v>427</v>
      </c>
    </row>
    <row r="400" spans="1:12" x14ac:dyDescent="0.2">
      <c r="A400" s="3">
        <v>399</v>
      </c>
      <c r="B400" s="3" t="s">
        <v>18</v>
      </c>
      <c r="C400" s="3">
        <v>11</v>
      </c>
      <c r="L400" s="3" t="s">
        <v>427</v>
      </c>
    </row>
    <row r="401" spans="1:12" x14ac:dyDescent="0.2">
      <c r="A401" s="3">
        <v>400</v>
      </c>
      <c r="B401" s="3" t="s">
        <v>18</v>
      </c>
      <c r="C401" s="3">
        <v>11</v>
      </c>
      <c r="L401" s="3" t="s">
        <v>427</v>
      </c>
    </row>
  </sheetData>
  <phoneticPr fontId="1" type="noConversion"/>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1"/>
  <sheetViews>
    <sheetView workbookViewId="0">
      <selection activeCell="F21" sqref="F21"/>
    </sheetView>
  </sheetViews>
  <sheetFormatPr defaultColWidth="9" defaultRowHeight="14.25" x14ac:dyDescent="0.2"/>
  <cols>
    <col min="1" max="1" width="15" style="3" customWidth="1"/>
    <col min="2" max="2" width="11.5" style="3" customWidth="1"/>
    <col min="3" max="3" width="9" style="3"/>
    <col min="4" max="4" width="15.625" style="3" customWidth="1"/>
    <col min="5" max="5" width="9" style="3"/>
    <col min="6" max="6" width="33.875" style="3" bestFit="1" customWidth="1"/>
    <col min="7" max="16384" width="9" style="3"/>
  </cols>
  <sheetData>
    <row r="1" spans="1:10" x14ac:dyDescent="0.2">
      <c r="A1" s="1" t="s">
        <v>306</v>
      </c>
      <c r="B1" s="1" t="s">
        <v>309</v>
      </c>
      <c r="D1" s="1" t="s">
        <v>17</v>
      </c>
      <c r="E1" s="1" t="s">
        <v>19</v>
      </c>
      <c r="F1" s="1" t="s">
        <v>20</v>
      </c>
      <c r="G1" s="1" t="s">
        <v>985</v>
      </c>
      <c r="H1" s="1" t="s">
        <v>78</v>
      </c>
      <c r="I1" s="1" t="s">
        <v>90</v>
      </c>
      <c r="J1" s="1" t="s">
        <v>986</v>
      </c>
    </row>
    <row r="2" spans="1:10" x14ac:dyDescent="0.2">
      <c r="A2" s="8" t="s">
        <v>18</v>
      </c>
      <c r="B2" s="8">
        <v>165</v>
      </c>
      <c r="D2" s="8" t="s">
        <v>40</v>
      </c>
      <c r="E2" s="8">
        <v>1</v>
      </c>
      <c r="F2" s="8" t="s">
        <v>22</v>
      </c>
      <c r="G2" s="17">
        <f>COUNTIFS(题库!$D:$D,$G$1,题库!$C:$C,$E2)</f>
        <v>12</v>
      </c>
      <c r="H2" s="17">
        <f>COUNTIFS(题库!$D:$D,$H$1,题库!$C:$C,$E2)</f>
        <v>15</v>
      </c>
      <c r="I2" s="17">
        <f>COUNTIFS(题库!$D:$D,$I$1,题库!$C:$C,$E2)</f>
        <v>19</v>
      </c>
      <c r="J2" s="17">
        <f>SUM(G2:I2)</f>
        <v>46</v>
      </c>
    </row>
    <row r="3" spans="1:10" x14ac:dyDescent="0.2">
      <c r="A3" s="8" t="s">
        <v>307</v>
      </c>
      <c r="B3" s="8">
        <v>135</v>
      </c>
      <c r="D3" s="8" t="s">
        <v>21</v>
      </c>
      <c r="E3" s="8">
        <v>2</v>
      </c>
      <c r="F3" s="8" t="s">
        <v>23</v>
      </c>
      <c r="G3" s="17">
        <f>COUNTIFS(题库!$D:$D,$G$1,题库!$C:$C,$E3)</f>
        <v>21</v>
      </c>
      <c r="H3" s="17">
        <f>COUNTIFS(题库!$D:$D,$H$1,题库!$C:$C,$E3)</f>
        <v>14</v>
      </c>
      <c r="I3" s="17">
        <f>COUNTIFS(题库!$D:$D,$I$1,题库!$C:$C,$E3)</f>
        <v>7</v>
      </c>
      <c r="J3" s="17">
        <f t="shared" ref="J3:J20" si="0">SUM(G3:I3)</f>
        <v>42</v>
      </c>
    </row>
    <row r="4" spans="1:10" x14ac:dyDescent="0.2">
      <c r="A4" s="8" t="s">
        <v>308</v>
      </c>
      <c r="B4" s="8">
        <v>120</v>
      </c>
      <c r="D4" s="8" t="s">
        <v>21</v>
      </c>
      <c r="E4" s="8">
        <v>3</v>
      </c>
      <c r="F4" s="8" t="s">
        <v>24</v>
      </c>
      <c r="G4" s="17">
        <f>COUNTIFS(题库!$D:$D,$G$1,题库!$C:$C,$E4)</f>
        <v>15</v>
      </c>
      <c r="H4" s="17">
        <f>COUNTIFS(题库!$D:$D,$H$1,题库!$C:$C,$E4)</f>
        <v>17</v>
      </c>
      <c r="I4" s="17">
        <f>COUNTIFS(题库!$D:$D,$I$1,题库!$C:$C,$E4)</f>
        <v>6</v>
      </c>
      <c r="J4" s="17">
        <f t="shared" si="0"/>
        <v>38</v>
      </c>
    </row>
    <row r="5" spans="1:10" x14ac:dyDescent="0.2">
      <c r="D5" s="8" t="s">
        <v>21</v>
      </c>
      <c r="E5" s="8">
        <v>4</v>
      </c>
      <c r="F5" s="8" t="s">
        <v>25</v>
      </c>
      <c r="G5" s="17">
        <f>COUNTIFS(题库!$D:$D,$G$1,题库!$C:$C,$E5)</f>
        <v>17</v>
      </c>
      <c r="H5" s="17">
        <f>COUNTIFS(题库!$D:$D,$H$1,题库!$C:$C,$E5)</f>
        <v>18</v>
      </c>
      <c r="I5" s="17">
        <f>COUNTIFS(题库!$D:$D,$I$1,题库!$C:$C,$E5)</f>
        <v>6</v>
      </c>
      <c r="J5" s="17">
        <f t="shared" si="0"/>
        <v>41</v>
      </c>
    </row>
    <row r="6" spans="1:10" x14ac:dyDescent="0.2">
      <c r="D6" s="8" t="s">
        <v>21</v>
      </c>
      <c r="E6" s="8">
        <v>5</v>
      </c>
      <c r="F6" s="8" t="s">
        <v>26</v>
      </c>
      <c r="G6" s="17">
        <f>COUNTIFS(题库!$D:$D,$G$1,题库!$C:$C,$E6)</f>
        <v>25</v>
      </c>
      <c r="H6" s="17">
        <f>COUNTIFS(题库!$D:$D,$H$1,题库!$C:$C,$E6)</f>
        <v>19</v>
      </c>
      <c r="I6" s="17">
        <f>COUNTIFS(题库!$D:$D,$I$1,题库!$C:$C,$E6)</f>
        <v>8</v>
      </c>
      <c r="J6" s="17">
        <f t="shared" si="0"/>
        <v>52</v>
      </c>
    </row>
    <row r="7" spans="1:10" x14ac:dyDescent="0.2">
      <c r="D7" s="8" t="s">
        <v>21</v>
      </c>
      <c r="E7" s="8">
        <v>6</v>
      </c>
      <c r="F7" s="8" t="s">
        <v>27</v>
      </c>
      <c r="G7" s="17">
        <f>COUNTIFS(题库!$D:$D,$G$1,题库!$C:$C,$E7)</f>
        <v>12</v>
      </c>
      <c r="H7" s="17">
        <f>COUNTIFS(题库!$D:$D,$H$1,题库!$C:$C,$E7)</f>
        <v>10</v>
      </c>
      <c r="I7" s="17">
        <f>COUNTIFS(题库!$D:$D,$I$1,题库!$C:$C,$E7)</f>
        <v>5</v>
      </c>
      <c r="J7" s="17">
        <f t="shared" si="0"/>
        <v>27</v>
      </c>
    </row>
    <row r="8" spans="1:10" x14ac:dyDescent="0.2">
      <c r="D8" s="8" t="s">
        <v>21</v>
      </c>
      <c r="E8" s="8">
        <v>7</v>
      </c>
      <c r="F8" s="8" t="s">
        <v>28</v>
      </c>
      <c r="G8" s="17">
        <f>COUNTIFS(题库!$D:$D,$G$1,题库!$C:$C,$E8)</f>
        <v>6</v>
      </c>
      <c r="H8" s="17">
        <f>COUNTIFS(题库!$D:$D,$H$1,题库!$C:$C,$E8)</f>
        <v>16</v>
      </c>
      <c r="I8" s="17">
        <f>COUNTIFS(题库!$D:$D,$I$1,题库!$C:$C,$E8)</f>
        <v>9</v>
      </c>
      <c r="J8" s="17">
        <f t="shared" si="0"/>
        <v>31</v>
      </c>
    </row>
    <row r="9" spans="1:10" x14ac:dyDescent="0.2">
      <c r="D9" s="8" t="s">
        <v>21</v>
      </c>
      <c r="E9" s="8">
        <v>8</v>
      </c>
      <c r="F9" s="8" t="s">
        <v>29</v>
      </c>
      <c r="G9" s="17">
        <f>COUNTIFS(题库!$D:$D,$G$1,题库!$C:$C,$E9)</f>
        <v>17</v>
      </c>
      <c r="H9" s="17">
        <f>COUNTIFS(题库!$D:$D,$H$1,题库!$C:$C,$E9)</f>
        <v>9</v>
      </c>
      <c r="I9" s="17">
        <f>COUNTIFS(题库!$D:$D,$I$1,题库!$C:$C,$E9)</f>
        <v>10</v>
      </c>
      <c r="J9" s="17">
        <f t="shared" si="0"/>
        <v>36</v>
      </c>
    </row>
    <row r="10" spans="1:10" x14ac:dyDescent="0.2">
      <c r="D10" s="8" t="s">
        <v>21</v>
      </c>
      <c r="E10" s="8">
        <v>9</v>
      </c>
      <c r="F10" s="8" t="s">
        <v>41</v>
      </c>
      <c r="G10" s="17">
        <f>COUNTIFS(题库!$D:$D,$G$1,题库!$C:$C,$E10)</f>
        <v>15</v>
      </c>
      <c r="H10" s="17">
        <f>COUNTIFS(题库!$D:$D,$H$1,题库!$C:$C,$E10)</f>
        <v>8</v>
      </c>
      <c r="I10" s="17">
        <f>COUNTIFS(题库!$D:$D,$I$1,题库!$C:$C,$E10)</f>
        <v>14</v>
      </c>
      <c r="J10" s="17">
        <f t="shared" si="0"/>
        <v>37</v>
      </c>
    </row>
    <row r="11" spans="1:10" x14ac:dyDescent="0.2">
      <c r="D11" s="8" t="s">
        <v>21</v>
      </c>
      <c r="E11" s="8">
        <v>10</v>
      </c>
      <c r="F11" s="8" t="s">
        <v>30</v>
      </c>
      <c r="G11" s="17">
        <f>COUNTIFS(题库!$D:$D,$G$1,题库!$C:$C,$E11)</f>
        <v>13</v>
      </c>
      <c r="H11" s="17">
        <f>COUNTIFS(题库!$D:$D,$H$1,题库!$C:$C,$E11)</f>
        <v>16</v>
      </c>
      <c r="I11" s="17">
        <f>COUNTIFS(题库!$D:$D,$I$1,题库!$C:$C,$E11)</f>
        <v>9</v>
      </c>
      <c r="J11" s="17">
        <f t="shared" si="0"/>
        <v>38</v>
      </c>
    </row>
    <row r="12" spans="1:10" x14ac:dyDescent="0.2">
      <c r="D12" s="8" t="s">
        <v>21</v>
      </c>
      <c r="E12" s="8">
        <v>11</v>
      </c>
      <c r="F12" s="8" t="s">
        <v>31</v>
      </c>
      <c r="G12" s="17">
        <f>COUNTIFS(题库!$D:$D,$G$1,题库!$C:$C,$E12)</f>
        <v>0</v>
      </c>
      <c r="H12" s="17">
        <f>COUNTIFS(题库!$D:$D,$H$1,题库!$C:$C,$E12)</f>
        <v>0</v>
      </c>
      <c r="I12" s="17">
        <f>COUNTIFS(题库!$D:$D,$I$1,题库!$C:$C,$E12)</f>
        <v>0</v>
      </c>
      <c r="J12" s="17">
        <f t="shared" si="0"/>
        <v>0</v>
      </c>
    </row>
    <row r="13" spans="1:10" x14ac:dyDescent="0.2">
      <c r="D13" s="8" t="s">
        <v>21</v>
      </c>
      <c r="E13" s="8">
        <v>12</v>
      </c>
      <c r="F13" s="8" t="s">
        <v>32</v>
      </c>
      <c r="G13" s="17">
        <f>COUNTIFS(题库!$D:$D,$G$1,题库!$C:$C,$E13)</f>
        <v>0</v>
      </c>
      <c r="H13" s="17">
        <f>COUNTIFS(题库!$D:$D,$H$1,题库!$C:$C,$E13)</f>
        <v>0</v>
      </c>
      <c r="I13" s="17">
        <f>COUNTIFS(题库!$D:$D,$I$1,题库!$C:$C,$E13)</f>
        <v>0</v>
      </c>
      <c r="J13" s="17">
        <f t="shared" si="0"/>
        <v>0</v>
      </c>
    </row>
    <row r="14" spans="1:10" x14ac:dyDescent="0.2">
      <c r="D14" s="8" t="s">
        <v>21</v>
      </c>
      <c r="E14" s="8">
        <v>13</v>
      </c>
      <c r="F14" s="8" t="s">
        <v>33</v>
      </c>
      <c r="G14" s="17">
        <f>COUNTIFS(题库!$D:$D,$G$1,题库!$C:$C,$E14)</f>
        <v>0</v>
      </c>
      <c r="H14" s="17">
        <f>COUNTIFS(题库!$D:$D,$H$1,题库!$C:$C,$E14)</f>
        <v>0</v>
      </c>
      <c r="I14" s="17">
        <f>COUNTIFS(题库!$D:$D,$I$1,题库!$C:$C,$E14)</f>
        <v>0</v>
      </c>
      <c r="J14" s="17">
        <f t="shared" si="0"/>
        <v>0</v>
      </c>
    </row>
    <row r="15" spans="1:10" x14ac:dyDescent="0.2">
      <c r="D15" s="8" t="s">
        <v>21</v>
      </c>
      <c r="E15" s="8">
        <v>14</v>
      </c>
      <c r="F15" s="8" t="s">
        <v>34</v>
      </c>
      <c r="G15" s="17">
        <f>COUNTIFS(题库!$D:$D,$G$1,题库!$C:$C,$E15)</f>
        <v>0</v>
      </c>
      <c r="H15" s="17">
        <f>COUNTIFS(题库!$D:$D,$H$1,题库!$C:$C,$E15)</f>
        <v>0</v>
      </c>
      <c r="I15" s="17">
        <f>COUNTIFS(题库!$D:$D,$I$1,题库!$C:$C,$E15)</f>
        <v>0</v>
      </c>
      <c r="J15" s="17">
        <f t="shared" si="0"/>
        <v>0</v>
      </c>
    </row>
    <row r="16" spans="1:10" x14ac:dyDescent="0.2">
      <c r="D16" s="8" t="s">
        <v>21</v>
      </c>
      <c r="E16" s="8">
        <v>15</v>
      </c>
      <c r="F16" s="8" t="s">
        <v>35</v>
      </c>
      <c r="G16" s="17">
        <f>COUNTIFS(题库!$D:$D,$G$1,题库!$C:$C,$E16)</f>
        <v>0</v>
      </c>
      <c r="H16" s="17">
        <f>COUNTIFS(题库!$D:$D,$H$1,题库!$C:$C,$E16)</f>
        <v>0</v>
      </c>
      <c r="I16" s="17">
        <f>COUNTIFS(题库!$D:$D,$I$1,题库!$C:$C,$E16)</f>
        <v>0</v>
      </c>
      <c r="J16" s="17">
        <f t="shared" si="0"/>
        <v>0</v>
      </c>
    </row>
    <row r="17" spans="4:10" x14ac:dyDescent="0.2">
      <c r="D17" s="8" t="s">
        <v>21</v>
      </c>
      <c r="E17" s="8">
        <v>16</v>
      </c>
      <c r="F17" s="8" t="s">
        <v>36</v>
      </c>
      <c r="G17" s="17">
        <f>COUNTIFS(题库!$D:$D,$G$1,题库!$C:$C,$E17)</f>
        <v>0</v>
      </c>
      <c r="H17" s="17">
        <f>COUNTIFS(题库!$D:$D,$H$1,题库!$C:$C,$E17)</f>
        <v>0</v>
      </c>
      <c r="I17" s="17">
        <f>COUNTIFS(题库!$D:$D,$I$1,题库!$C:$C,$E17)</f>
        <v>0</v>
      </c>
      <c r="J17" s="17">
        <f t="shared" si="0"/>
        <v>0</v>
      </c>
    </row>
    <row r="18" spans="4:10" x14ac:dyDescent="0.2">
      <c r="D18" s="8" t="s">
        <v>21</v>
      </c>
      <c r="E18" s="8">
        <v>17</v>
      </c>
      <c r="F18" s="8" t="s">
        <v>37</v>
      </c>
      <c r="G18" s="17">
        <f>COUNTIFS(题库!$D:$D,$G$1,题库!$C:$C,$E18)</f>
        <v>0</v>
      </c>
      <c r="H18" s="17">
        <f>COUNTIFS(题库!$D:$D,$H$1,题库!$C:$C,$E18)</f>
        <v>0</v>
      </c>
      <c r="I18" s="17">
        <f>COUNTIFS(题库!$D:$D,$I$1,题库!$C:$C,$E18)</f>
        <v>0</v>
      </c>
      <c r="J18" s="17">
        <f t="shared" si="0"/>
        <v>0</v>
      </c>
    </row>
    <row r="19" spans="4:10" x14ac:dyDescent="0.2">
      <c r="D19" s="8" t="s">
        <v>21</v>
      </c>
      <c r="E19" s="8">
        <v>18</v>
      </c>
      <c r="F19" s="8" t="s">
        <v>38</v>
      </c>
      <c r="G19" s="17">
        <f>COUNTIFS(题库!$D:$D,$G$1,题库!$C:$C,$E19)</f>
        <v>0</v>
      </c>
      <c r="H19" s="17">
        <f>COUNTIFS(题库!$D:$D,$H$1,题库!$C:$C,$E19)</f>
        <v>0</v>
      </c>
      <c r="I19" s="17">
        <f>COUNTIFS(题库!$D:$D,$I$1,题库!$C:$C,$E19)</f>
        <v>0</v>
      </c>
      <c r="J19" s="17">
        <f t="shared" si="0"/>
        <v>0</v>
      </c>
    </row>
    <row r="20" spans="4:10" x14ac:dyDescent="0.2">
      <c r="D20" s="8" t="s">
        <v>21</v>
      </c>
      <c r="E20" s="8">
        <v>19</v>
      </c>
      <c r="F20" s="8" t="s">
        <v>39</v>
      </c>
      <c r="G20" s="17">
        <f>COUNTIFS(题库!$D:$D,$G$1,题库!$C:$C,$E20)</f>
        <v>0</v>
      </c>
      <c r="H20" s="17">
        <f>COUNTIFS(题库!$D:$D,$H$1,题库!$C:$C,$E20)</f>
        <v>0</v>
      </c>
      <c r="I20" s="17">
        <f>COUNTIFS(题库!$D:$D,$I$1,题库!$C:$C,$E20)</f>
        <v>0</v>
      </c>
      <c r="J20" s="17">
        <f t="shared" si="0"/>
        <v>0</v>
      </c>
    </row>
    <row r="21" spans="4:10" x14ac:dyDescent="0.2">
      <c r="G21" s="17">
        <f>SUM(G2:G20)</f>
        <v>153</v>
      </c>
      <c r="H21" s="17">
        <f t="shared" ref="H21:I21" si="1">SUM(H2:H20)</f>
        <v>142</v>
      </c>
      <c r="I21" s="17">
        <f t="shared" si="1"/>
        <v>93</v>
      </c>
      <c r="J21" s="17">
        <f>SUM(G21:I21)</f>
        <v>388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31"/>
  <sheetViews>
    <sheetView workbookViewId="0">
      <selection activeCell="N12" sqref="N12"/>
    </sheetView>
  </sheetViews>
  <sheetFormatPr defaultRowHeight="14.25" x14ac:dyDescent="0.2"/>
  <sheetData>
    <row r="1" spans="1:13" x14ac:dyDescent="0.2">
      <c r="A1" s="1" t="s">
        <v>53</v>
      </c>
      <c r="B1" s="1" t="s">
        <v>54</v>
      </c>
      <c r="C1" s="1" t="s">
        <v>19</v>
      </c>
      <c r="D1" s="1" t="s">
        <v>56</v>
      </c>
      <c r="E1" s="1" t="s">
        <v>57</v>
      </c>
      <c r="F1" s="1" t="s">
        <v>58</v>
      </c>
      <c r="G1" s="1" t="s">
        <v>11</v>
      </c>
      <c r="H1" s="1" t="s">
        <v>59</v>
      </c>
      <c r="I1" s="1" t="s">
        <v>60</v>
      </c>
      <c r="J1" s="1" t="s">
        <v>0</v>
      </c>
      <c r="K1" s="1" t="s">
        <v>61</v>
      </c>
      <c r="L1" s="1" t="s">
        <v>426</v>
      </c>
      <c r="M1" t="s">
        <v>1903</v>
      </c>
    </row>
    <row r="2" spans="1:13" x14ac:dyDescent="0.2">
      <c r="A2" s="3">
        <v>202</v>
      </c>
      <c r="B2" s="3" t="s">
        <v>18</v>
      </c>
      <c r="C2" s="3">
        <v>6</v>
      </c>
      <c r="D2" s="3" t="s">
        <v>8</v>
      </c>
      <c r="E2" s="4" t="s">
        <v>1003</v>
      </c>
      <c r="F2" s="2" t="s">
        <v>1004</v>
      </c>
      <c r="G2" s="2" t="s">
        <v>1005</v>
      </c>
      <c r="H2" s="2" t="s">
        <v>1006</v>
      </c>
      <c r="I2" s="2" t="s">
        <v>1007</v>
      </c>
      <c r="J2" s="2" t="s">
        <v>830</v>
      </c>
      <c r="K2" s="4" t="s">
        <v>1009</v>
      </c>
      <c r="L2" s="3" t="s">
        <v>428</v>
      </c>
    </row>
    <row r="3" spans="1:13" x14ac:dyDescent="0.2">
      <c r="A3" s="3">
        <v>185</v>
      </c>
      <c r="B3" s="3" t="s">
        <v>18</v>
      </c>
      <c r="C3" s="3">
        <v>4</v>
      </c>
      <c r="D3" s="3" t="s">
        <v>8</v>
      </c>
      <c r="E3" s="4" t="s">
        <v>914</v>
      </c>
      <c r="F3" s="2" t="s">
        <v>915</v>
      </c>
      <c r="G3" s="2" t="s">
        <v>916</v>
      </c>
      <c r="H3" s="2" t="s">
        <v>917</v>
      </c>
      <c r="I3" s="2" t="s">
        <v>918</v>
      </c>
      <c r="J3" s="2" t="s">
        <v>122</v>
      </c>
      <c r="K3" s="4" t="s">
        <v>919</v>
      </c>
      <c r="L3" s="3" t="s">
        <v>428</v>
      </c>
    </row>
    <row r="4" spans="1:13" x14ac:dyDescent="0.2">
      <c r="A4" s="3">
        <v>230</v>
      </c>
      <c r="B4" s="3" t="s">
        <v>18</v>
      </c>
      <c r="C4" s="3">
        <v>7</v>
      </c>
      <c r="D4" s="3" t="s">
        <v>8</v>
      </c>
      <c r="E4" s="4" t="s">
        <v>1149</v>
      </c>
      <c r="F4" s="2">
        <v>1116</v>
      </c>
      <c r="G4" s="2">
        <v>1250</v>
      </c>
      <c r="H4" s="2">
        <v>1209</v>
      </c>
      <c r="I4" s="2">
        <v>1407</v>
      </c>
      <c r="J4" s="2" t="s">
        <v>830</v>
      </c>
      <c r="K4" s="2" t="s">
        <v>1151</v>
      </c>
      <c r="L4" s="3" t="s">
        <v>428</v>
      </c>
    </row>
    <row r="5" spans="1:13" x14ac:dyDescent="0.2">
      <c r="A5" s="3">
        <v>117</v>
      </c>
      <c r="B5" s="3" t="s">
        <v>18</v>
      </c>
      <c r="C5" s="3">
        <v>2</v>
      </c>
      <c r="D5" s="3" t="s">
        <v>8</v>
      </c>
      <c r="E5" s="4" t="s">
        <v>564</v>
      </c>
      <c r="F5" s="2">
        <v>513</v>
      </c>
      <c r="G5" s="2">
        <v>512.79999999999995</v>
      </c>
      <c r="H5" s="2">
        <v>512</v>
      </c>
      <c r="I5" s="2">
        <v>511.8</v>
      </c>
      <c r="J5" s="6" t="s">
        <v>16</v>
      </c>
      <c r="K5" s="4" t="s">
        <v>566</v>
      </c>
      <c r="L5" s="3" t="s">
        <v>428</v>
      </c>
      <c r="M5" t="s">
        <v>1904</v>
      </c>
    </row>
    <row r="6" spans="1:13" x14ac:dyDescent="0.2">
      <c r="A6" s="3">
        <v>54</v>
      </c>
      <c r="B6" s="3" t="s">
        <v>18</v>
      </c>
      <c r="C6" s="3">
        <v>6</v>
      </c>
      <c r="D6" s="3" t="s">
        <v>8</v>
      </c>
      <c r="E6" s="4" t="s">
        <v>266</v>
      </c>
      <c r="F6" s="2" t="s">
        <v>267</v>
      </c>
      <c r="G6" s="2" t="s">
        <v>268</v>
      </c>
      <c r="H6" s="2" t="s">
        <v>269</v>
      </c>
      <c r="I6" s="2" t="s">
        <v>270</v>
      </c>
      <c r="J6" s="6" t="s">
        <v>122</v>
      </c>
      <c r="K6" s="4" t="s">
        <v>271</v>
      </c>
      <c r="L6" s="3" t="s">
        <v>427</v>
      </c>
    </row>
    <row r="7" spans="1:13" x14ac:dyDescent="0.2">
      <c r="A7" s="3">
        <v>23</v>
      </c>
      <c r="B7" s="3" t="s">
        <v>18</v>
      </c>
      <c r="C7" s="3">
        <v>2</v>
      </c>
      <c r="D7" s="3" t="s">
        <v>157</v>
      </c>
      <c r="E7" s="5" t="s">
        <v>158</v>
      </c>
      <c r="F7" s="2">
        <v>6</v>
      </c>
      <c r="G7" s="2">
        <v>16</v>
      </c>
      <c r="H7" s="2">
        <v>26</v>
      </c>
      <c r="I7" s="2">
        <v>36</v>
      </c>
      <c r="J7" s="6" t="s">
        <v>14</v>
      </c>
      <c r="K7" s="4" t="s">
        <v>159</v>
      </c>
      <c r="L7" s="3" t="s">
        <v>427</v>
      </c>
    </row>
    <row r="8" spans="1:13" x14ac:dyDescent="0.2">
      <c r="A8" s="3">
        <v>39</v>
      </c>
      <c r="B8" s="3" t="s">
        <v>18</v>
      </c>
      <c r="C8" s="3">
        <v>4</v>
      </c>
      <c r="D8" s="3" t="s">
        <v>8</v>
      </c>
      <c r="E8" s="4" t="s">
        <v>210</v>
      </c>
      <c r="F8" s="2">
        <v>203</v>
      </c>
      <c r="G8" s="2">
        <v>201</v>
      </c>
      <c r="H8" s="2">
        <v>207</v>
      </c>
      <c r="I8" s="2">
        <v>200</v>
      </c>
      <c r="J8" s="6" t="s">
        <v>144</v>
      </c>
      <c r="K8" t="s">
        <v>211</v>
      </c>
      <c r="L8" s="3" t="s">
        <v>427</v>
      </c>
      <c r="M8" t="s">
        <v>1904</v>
      </c>
    </row>
    <row r="9" spans="1:13" x14ac:dyDescent="0.2">
      <c r="A9" s="3">
        <v>37</v>
      </c>
      <c r="B9" s="3" t="s">
        <v>18</v>
      </c>
      <c r="C9" s="3">
        <v>3</v>
      </c>
      <c r="D9" s="3" t="s">
        <v>8</v>
      </c>
      <c r="E9" s="4" t="s">
        <v>204</v>
      </c>
      <c r="F9" s="2">
        <v>54</v>
      </c>
      <c r="G9" s="2">
        <v>62</v>
      </c>
      <c r="H9" s="2">
        <v>87.5</v>
      </c>
      <c r="I9" s="2">
        <v>79.5</v>
      </c>
      <c r="J9" s="6" t="s">
        <v>144</v>
      </c>
      <c r="K9" s="4" t="s">
        <v>206</v>
      </c>
      <c r="L9" s="3" t="s">
        <v>427</v>
      </c>
    </row>
    <row r="10" spans="1:13" x14ac:dyDescent="0.2">
      <c r="A10" s="3">
        <v>170</v>
      </c>
      <c r="B10" s="3" t="s">
        <v>18</v>
      </c>
      <c r="C10" s="3">
        <v>3</v>
      </c>
      <c r="D10" s="3" t="s">
        <v>8</v>
      </c>
      <c r="E10" s="4" t="s">
        <v>822</v>
      </c>
      <c r="F10" s="2" t="s">
        <v>823</v>
      </c>
      <c r="G10" s="2" t="s">
        <v>824</v>
      </c>
      <c r="H10" s="2" t="s">
        <v>825</v>
      </c>
      <c r="I10" s="2" t="s">
        <v>826</v>
      </c>
      <c r="J10" s="2" t="s">
        <v>122</v>
      </c>
      <c r="K10" s="4" t="s">
        <v>828</v>
      </c>
      <c r="L10" s="3" t="s">
        <v>428</v>
      </c>
    </row>
    <row r="11" spans="1:13" x14ac:dyDescent="0.2">
      <c r="A11" s="3">
        <v>192</v>
      </c>
      <c r="B11" s="3" t="s">
        <v>18</v>
      </c>
      <c r="C11" s="3">
        <v>4</v>
      </c>
      <c r="D11" s="3" t="s">
        <v>8</v>
      </c>
      <c r="E11" s="4" t="s">
        <v>958</v>
      </c>
      <c r="F11" s="2">
        <v>156</v>
      </c>
      <c r="G11" s="2">
        <v>132</v>
      </c>
      <c r="H11" s="2">
        <v>192</v>
      </c>
      <c r="I11" s="2">
        <v>96</v>
      </c>
      <c r="J11" s="2" t="s">
        <v>959</v>
      </c>
      <c r="K11" s="4" t="s">
        <v>960</v>
      </c>
      <c r="L11" s="3" t="s">
        <v>428</v>
      </c>
    </row>
    <row r="12" spans="1:13" x14ac:dyDescent="0.2">
      <c r="A12" s="3">
        <v>76</v>
      </c>
      <c r="B12" s="3" t="s">
        <v>18</v>
      </c>
      <c r="C12" s="3">
        <v>8</v>
      </c>
      <c r="D12" s="3" t="s">
        <v>62</v>
      </c>
      <c r="E12" s="4" t="s">
        <v>366</v>
      </c>
      <c r="F12" s="2" t="s">
        <v>367</v>
      </c>
      <c r="G12" s="2" t="s">
        <v>368</v>
      </c>
      <c r="H12" s="2" t="s">
        <v>369</v>
      </c>
      <c r="I12" s="2" t="s">
        <v>370</v>
      </c>
      <c r="J12" s="6" t="s">
        <v>386</v>
      </c>
      <c r="K12" s="4" t="s">
        <v>387</v>
      </c>
      <c r="L12" s="3" t="s">
        <v>427</v>
      </c>
    </row>
    <row r="13" spans="1:13" x14ac:dyDescent="0.2">
      <c r="A13" s="3">
        <v>390</v>
      </c>
      <c r="B13" s="3" t="s">
        <v>18</v>
      </c>
      <c r="C13" s="3">
        <v>10</v>
      </c>
      <c r="D13" s="3" t="s">
        <v>1370</v>
      </c>
      <c r="E13" s="4" t="s">
        <v>1883</v>
      </c>
      <c r="F13" s="2" t="s">
        <v>1884</v>
      </c>
      <c r="G13" s="2" t="s">
        <v>1885</v>
      </c>
      <c r="H13" s="2" t="s">
        <v>1886</v>
      </c>
      <c r="I13" s="2" t="s">
        <v>1887</v>
      </c>
      <c r="J13" s="2" t="s">
        <v>1888</v>
      </c>
      <c r="K13" s="4" t="s">
        <v>1889</v>
      </c>
      <c r="L13" s="3" t="s">
        <v>428</v>
      </c>
    </row>
    <row r="14" spans="1:13" x14ac:dyDescent="0.2">
      <c r="A14" s="3">
        <v>189</v>
      </c>
      <c r="B14" s="3" t="s">
        <v>18</v>
      </c>
      <c r="C14" s="3">
        <v>4</v>
      </c>
      <c r="D14" s="3" t="s">
        <v>62</v>
      </c>
      <c r="E14" s="4" t="s">
        <v>937</v>
      </c>
      <c r="F14" s="2" t="s">
        <v>938</v>
      </c>
      <c r="G14" s="2" t="s">
        <v>939</v>
      </c>
      <c r="H14" s="2" t="s">
        <v>940</v>
      </c>
      <c r="I14" s="2" t="s">
        <v>941</v>
      </c>
      <c r="J14" s="2" t="s">
        <v>942</v>
      </c>
      <c r="K14" s="4" t="s">
        <v>943</v>
      </c>
      <c r="L14" s="3" t="s">
        <v>428</v>
      </c>
    </row>
    <row r="15" spans="1:13" x14ac:dyDescent="0.2">
      <c r="A15" s="3">
        <v>305</v>
      </c>
      <c r="B15" s="3" t="s">
        <v>18</v>
      </c>
      <c r="C15" s="3">
        <v>5</v>
      </c>
      <c r="D15" s="3" t="s">
        <v>62</v>
      </c>
      <c r="E15" s="4" t="s">
        <v>1455</v>
      </c>
      <c r="F15" s="2" t="s">
        <v>1456</v>
      </c>
      <c r="G15" s="2" t="s">
        <v>1457</v>
      </c>
      <c r="H15" s="2" t="s">
        <v>1458</v>
      </c>
      <c r="I15" s="2" t="s">
        <v>1459</v>
      </c>
      <c r="J15" s="2" t="s">
        <v>817</v>
      </c>
      <c r="K15" s="4" t="s">
        <v>1488</v>
      </c>
      <c r="L15" s="3" t="s">
        <v>1369</v>
      </c>
    </row>
    <row r="16" spans="1:13" x14ac:dyDescent="0.2">
      <c r="A16" s="3">
        <v>227</v>
      </c>
      <c r="B16" s="3" t="s">
        <v>18</v>
      </c>
      <c r="C16" s="3">
        <v>7</v>
      </c>
      <c r="D16" s="3" t="s">
        <v>62</v>
      </c>
      <c r="E16" s="4" t="s">
        <v>1138</v>
      </c>
      <c r="F16" s="2" t="s">
        <v>1139</v>
      </c>
      <c r="G16" s="2" t="s">
        <v>1140</v>
      </c>
      <c r="H16" s="2" t="s">
        <v>1141</v>
      </c>
      <c r="I16" s="2" t="s">
        <v>1142</v>
      </c>
      <c r="J16" s="2" t="s">
        <v>1042</v>
      </c>
      <c r="K16" s="4" t="s">
        <v>1144</v>
      </c>
      <c r="L16" s="3" t="s">
        <v>428</v>
      </c>
    </row>
    <row r="17" spans="1:13" x14ac:dyDescent="0.2">
      <c r="A17" s="3">
        <v>147</v>
      </c>
      <c r="B17" s="3" t="s">
        <v>18</v>
      </c>
      <c r="C17" s="3">
        <v>2</v>
      </c>
      <c r="D17" s="3" t="s">
        <v>62</v>
      </c>
      <c r="E17" s="4" t="s">
        <v>698</v>
      </c>
      <c r="F17" s="2" t="s">
        <v>699</v>
      </c>
      <c r="G17" s="2" t="s">
        <v>700</v>
      </c>
      <c r="H17" s="2" t="s">
        <v>701</v>
      </c>
      <c r="I17" s="2" t="s">
        <v>702</v>
      </c>
      <c r="J17" s="6" t="s">
        <v>200</v>
      </c>
      <c r="K17" s="6" t="s">
        <v>704</v>
      </c>
      <c r="L17" s="3" t="s">
        <v>428</v>
      </c>
    </row>
    <row r="18" spans="1:13" x14ac:dyDescent="0.2">
      <c r="A18" s="3">
        <v>386</v>
      </c>
      <c r="B18" s="3" t="s">
        <v>18</v>
      </c>
      <c r="C18" s="3">
        <v>10</v>
      </c>
      <c r="D18" s="3" t="s">
        <v>1370</v>
      </c>
      <c r="E18" s="4" t="s">
        <v>1857</v>
      </c>
      <c r="F18" s="2" t="s">
        <v>1858</v>
      </c>
      <c r="G18" s="2" t="s">
        <v>1859</v>
      </c>
      <c r="H18" s="2" t="s">
        <v>1860</v>
      </c>
      <c r="I18" s="2" t="s">
        <v>1861</v>
      </c>
      <c r="J18" s="2" t="s">
        <v>1862</v>
      </c>
      <c r="K18" s="2" t="s">
        <v>1863</v>
      </c>
      <c r="L18" s="3" t="s">
        <v>428</v>
      </c>
    </row>
    <row r="19" spans="1:13" x14ac:dyDescent="0.2">
      <c r="A19" s="3">
        <v>2</v>
      </c>
      <c r="B19" s="3" t="s">
        <v>18</v>
      </c>
      <c r="C19" s="3">
        <v>1</v>
      </c>
      <c r="D19" s="3" t="s">
        <v>62</v>
      </c>
      <c r="E19" s="4" t="s">
        <v>70</v>
      </c>
      <c r="F19" s="2" t="s">
        <v>71</v>
      </c>
      <c r="G19" s="2" t="s">
        <v>72</v>
      </c>
      <c r="H19" s="2" t="s">
        <v>73</v>
      </c>
      <c r="I19" s="2" t="s">
        <v>74</v>
      </c>
      <c r="J19" s="2" t="s">
        <v>47</v>
      </c>
      <c r="K19" s="6" t="s">
        <v>76</v>
      </c>
      <c r="L19" s="3" t="s">
        <v>427</v>
      </c>
    </row>
    <row r="20" spans="1:13" x14ac:dyDescent="0.2">
      <c r="A20" s="3">
        <v>167</v>
      </c>
      <c r="B20" s="3" t="s">
        <v>18</v>
      </c>
      <c r="C20" s="3">
        <v>3</v>
      </c>
      <c r="D20" s="3" t="s">
        <v>62</v>
      </c>
      <c r="E20" s="4" t="s">
        <v>806</v>
      </c>
      <c r="F20" s="2" t="s">
        <v>807</v>
      </c>
      <c r="G20" s="2" t="s">
        <v>808</v>
      </c>
      <c r="H20" s="2" t="s">
        <v>809</v>
      </c>
      <c r="I20" s="2" t="s">
        <v>810</v>
      </c>
      <c r="J20" s="2" t="s">
        <v>138</v>
      </c>
      <c r="K20" s="4" t="s">
        <v>811</v>
      </c>
      <c r="L20" s="3" t="s">
        <v>428</v>
      </c>
    </row>
    <row r="21" spans="1:13" x14ac:dyDescent="0.2">
      <c r="A21" s="3">
        <v>379</v>
      </c>
      <c r="B21" s="3" t="s">
        <v>18</v>
      </c>
      <c r="C21" s="3">
        <v>10</v>
      </c>
      <c r="D21" s="3" t="s">
        <v>1370</v>
      </c>
      <c r="E21" s="4" t="s">
        <v>1828</v>
      </c>
      <c r="F21" s="2" t="s">
        <v>1829</v>
      </c>
      <c r="G21" s="2" t="s">
        <v>1830</v>
      </c>
      <c r="H21" s="2" t="s">
        <v>1831</v>
      </c>
      <c r="I21" s="2" t="s">
        <v>1832</v>
      </c>
      <c r="J21" s="2" t="s">
        <v>1031</v>
      </c>
      <c r="K21" s="2" t="s">
        <v>1833</v>
      </c>
      <c r="L21" s="3" t="s">
        <v>1774</v>
      </c>
    </row>
    <row r="22" spans="1:13" x14ac:dyDescent="0.2">
      <c r="A22" s="3">
        <v>198</v>
      </c>
      <c r="B22" s="3" t="s">
        <v>18</v>
      </c>
      <c r="C22" s="3">
        <v>4</v>
      </c>
      <c r="D22" s="3" t="s">
        <v>6</v>
      </c>
      <c r="E22" s="4" t="s">
        <v>982</v>
      </c>
      <c r="F22" s="2"/>
      <c r="G22" s="2"/>
      <c r="H22" s="2"/>
      <c r="I22" s="2"/>
      <c r="J22" s="2" t="s">
        <v>983</v>
      </c>
      <c r="K22" s="4" t="s">
        <v>984</v>
      </c>
      <c r="L22" s="3" t="s">
        <v>428</v>
      </c>
      <c r="M22" t="s">
        <v>1906</v>
      </c>
    </row>
    <row r="23" spans="1:13" x14ac:dyDescent="0.2">
      <c r="A23" s="3">
        <v>295</v>
      </c>
      <c r="B23" s="3" t="s">
        <v>18</v>
      </c>
      <c r="C23" s="3">
        <v>9</v>
      </c>
      <c r="D23" s="3" t="s">
        <v>6</v>
      </c>
      <c r="E23" s="4" t="s">
        <v>1413</v>
      </c>
      <c r="F23" s="2"/>
      <c r="G23" s="2"/>
      <c r="H23" s="2"/>
      <c r="I23" s="2"/>
      <c r="J23" s="2" t="s">
        <v>342</v>
      </c>
      <c r="K23" s="4" t="s">
        <v>1432</v>
      </c>
      <c r="L23" s="3" t="s">
        <v>1369</v>
      </c>
      <c r="M23" t="s">
        <v>1905</v>
      </c>
    </row>
    <row r="24" spans="1:13" x14ac:dyDescent="0.2">
      <c r="A24" s="3">
        <v>381</v>
      </c>
      <c r="B24" s="3" t="s">
        <v>18</v>
      </c>
      <c r="C24" s="3">
        <v>10</v>
      </c>
      <c r="D24" s="3" t="s">
        <v>6</v>
      </c>
      <c r="E24" s="4" t="s">
        <v>1836</v>
      </c>
      <c r="F24" s="2"/>
      <c r="G24" s="2"/>
      <c r="H24" s="2"/>
      <c r="I24" s="2"/>
      <c r="J24" s="2" t="s">
        <v>970</v>
      </c>
      <c r="K24" s="4" t="s">
        <v>1837</v>
      </c>
      <c r="L24" s="3" t="s">
        <v>1774</v>
      </c>
      <c r="M24" t="s">
        <v>1905</v>
      </c>
    </row>
    <row r="25" spans="1:13" x14ac:dyDescent="0.2">
      <c r="A25" s="3">
        <v>104</v>
      </c>
      <c r="B25" s="3" t="s">
        <v>18</v>
      </c>
      <c r="C25" s="3">
        <v>1</v>
      </c>
      <c r="D25" s="3" t="s">
        <v>6</v>
      </c>
      <c r="E25" s="4" t="s">
        <v>501</v>
      </c>
      <c r="F25" s="2"/>
      <c r="G25" s="2"/>
      <c r="H25" s="2"/>
      <c r="I25" s="2"/>
      <c r="J25" s="6" t="s">
        <v>155</v>
      </c>
      <c r="K25" s="6" t="s">
        <v>502</v>
      </c>
      <c r="L25" s="3" t="s">
        <v>428</v>
      </c>
    </row>
    <row r="26" spans="1:13" x14ac:dyDescent="0.2">
      <c r="A26" s="3">
        <v>260</v>
      </c>
      <c r="B26" s="3" t="s">
        <v>18</v>
      </c>
      <c r="C26" s="3">
        <v>8</v>
      </c>
      <c r="D26" s="3" t="s">
        <v>6</v>
      </c>
      <c r="E26" s="4" t="s">
        <v>1286</v>
      </c>
      <c r="F26" s="2"/>
      <c r="G26" s="2"/>
      <c r="H26" s="2"/>
      <c r="I26" s="2"/>
      <c r="J26" s="2" t="s">
        <v>983</v>
      </c>
      <c r="K26" s="2" t="s">
        <v>1287</v>
      </c>
      <c r="L26" s="3" t="s">
        <v>428</v>
      </c>
    </row>
    <row r="27" spans="1:13" x14ac:dyDescent="0.2">
      <c r="A27" s="3">
        <v>106</v>
      </c>
      <c r="B27" s="3" t="s">
        <v>18</v>
      </c>
      <c r="C27" s="3">
        <v>1</v>
      </c>
      <c r="D27" s="3" t="s">
        <v>6</v>
      </c>
      <c r="E27" s="4" t="s">
        <v>505</v>
      </c>
      <c r="F27" s="2"/>
      <c r="G27" s="2"/>
      <c r="H27" s="2"/>
      <c r="I27" s="2"/>
      <c r="J27" s="6" t="s">
        <v>155</v>
      </c>
      <c r="K27" s="6" t="s">
        <v>506</v>
      </c>
      <c r="L27" s="3" t="s">
        <v>428</v>
      </c>
    </row>
    <row r="28" spans="1:13" x14ac:dyDescent="0.2">
      <c r="A28" s="3">
        <v>46</v>
      </c>
      <c r="B28" s="3" t="s">
        <v>18</v>
      </c>
      <c r="C28" s="3">
        <v>4</v>
      </c>
      <c r="D28" s="3" t="s">
        <v>6</v>
      </c>
      <c r="E28" s="4" t="s">
        <v>242</v>
      </c>
      <c r="F28" s="2"/>
      <c r="G28" s="2"/>
      <c r="H28" s="2"/>
      <c r="I28" s="2"/>
      <c r="J28" s="6" t="s">
        <v>123</v>
      </c>
      <c r="K28" s="6" t="s">
        <v>166</v>
      </c>
      <c r="L28" s="3" t="s">
        <v>427</v>
      </c>
    </row>
    <row r="29" spans="1:13" x14ac:dyDescent="0.2">
      <c r="A29" s="3">
        <v>265</v>
      </c>
      <c r="B29" s="3" t="s">
        <v>18</v>
      </c>
      <c r="C29" s="3">
        <v>9</v>
      </c>
      <c r="D29" s="3" t="s">
        <v>6</v>
      </c>
      <c r="E29" s="4" t="s">
        <v>1305</v>
      </c>
      <c r="F29" s="2"/>
      <c r="G29" s="2"/>
      <c r="H29" s="2"/>
      <c r="I29" s="2"/>
      <c r="J29" s="2" t="s">
        <v>983</v>
      </c>
      <c r="K29" s="2" t="s">
        <v>1306</v>
      </c>
      <c r="L29" s="3" t="s">
        <v>428</v>
      </c>
    </row>
    <row r="30" spans="1:13" x14ac:dyDescent="0.2">
      <c r="A30" s="3">
        <v>26</v>
      </c>
      <c r="B30" s="3" t="s">
        <v>18</v>
      </c>
      <c r="C30" s="3">
        <v>3</v>
      </c>
      <c r="D30" s="3" t="s">
        <v>6</v>
      </c>
      <c r="E30" s="4" t="s">
        <v>165</v>
      </c>
      <c r="F30" s="2"/>
      <c r="G30" s="2"/>
      <c r="H30" s="2"/>
      <c r="I30" s="2"/>
      <c r="J30" s="6" t="s">
        <v>123</v>
      </c>
      <c r="K30" t="s">
        <v>166</v>
      </c>
      <c r="L30" s="3" t="s">
        <v>427</v>
      </c>
    </row>
    <row r="31" spans="1:13" x14ac:dyDescent="0.2">
      <c r="A31" s="3">
        <v>22</v>
      </c>
      <c r="B31" s="3" t="s">
        <v>18</v>
      </c>
      <c r="C31" s="3">
        <v>2</v>
      </c>
      <c r="D31" s="3" t="s">
        <v>6</v>
      </c>
      <c r="E31" s="5" t="s">
        <v>154</v>
      </c>
      <c r="F31" s="2"/>
      <c r="G31" s="2"/>
      <c r="H31" s="2"/>
      <c r="I31" s="2"/>
      <c r="J31" s="6" t="s">
        <v>155</v>
      </c>
      <c r="K31" s="4" t="s">
        <v>156</v>
      </c>
      <c r="L31" s="3" t="s">
        <v>427</v>
      </c>
    </row>
  </sheetData>
  <phoneticPr fontId="1"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主程序</vt:lpstr>
      <vt:lpstr>题库</vt:lpstr>
      <vt:lpstr>数据库</vt:lpstr>
      <vt:lpstr>临时数据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黄军毅</dc:creator>
  <cp:lastModifiedBy>黄军毅</cp:lastModifiedBy>
  <dcterms:created xsi:type="dcterms:W3CDTF">2015-06-05T18:19:34Z</dcterms:created>
  <dcterms:modified xsi:type="dcterms:W3CDTF">2021-03-01T02:52:32Z</dcterms:modified>
</cp:coreProperties>
</file>